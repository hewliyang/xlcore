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1"/>
  </bookViews>
  <sheets>
    <sheet r:id="rId15" sheetId="12" name="Evaluation Version"/>
    <sheet r:id="rId1" name="Aging Report" sheetId="1"/>
    <sheet r:id="rId2" name="Invoices" sheetId="2"/>
    <sheet r:id="rId3" name="Cell" sheetId="3"/>
    <sheet r:id="rId4" name="Mathematical Expressions" sheetId="4"/>
    <sheet r:id="rId5" name="Conditional Formatting" sheetId="5"/>
    <sheet r:id="rId6" name="Image" sheetId="6"/>
    <sheet r:id="rId7" name="Table" sheetId="7"/>
    <sheet r:id="rId8" name="Sparklines" sheetId="8"/>
    <sheet r:id="rId9" name="Chart" sheetId="9"/>
    <sheet r:id="rId10" name="Barcode" sheetId="10"/>
    <sheet r:id="rId11" name="Shape" sheetId="11"/>
  </sheets>
  <definedNames>
    <definedName name="TableSlicer_Classifcation">#N/A</definedName>
    <definedName name="TableSlicer_Drive_System">#N/A</definedName>
    <definedName name="TableSlicer_Color">#N/A</definedName>
    <definedName name="TableSlicer_Sales_Territory">#N/A</definedName>
    <definedName name="AgingDate">Invoices!$M$3</definedName>
  </definedNames>
  <calcPr calcId="0" iterate="1" iterateCount="1000" iterateDelta="0.01"/>
</workbook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G14" authorId="0">
      <text>
        <r>
          <rPr>
            <sz val="9"/>
            <color rgb="FF000000"/>
            <rFont val="Arial"/>
            <family val="2"/>
          </rPr>
          <t>Summary
　Meeting with Publisher A</t>
        </r>
      </text>
    </comment>
    <comment ref="AG16" authorId="0">
      <text>
        <r>
          <rPr>
            <sz val="9"/>
            <color rgb="FF000000"/>
            <rFont val="Arial"/>
            <family val="2"/>
          </rPr>
          <t>MEMO:
　Bring your meeting materials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9" authorId="0">
      <text>
        <r>
          <rPr>
            <sz val="12"/>
            <color rgb="FF3F3F3F"/>
            <rFont val="Calibri"/>
            <family val="2"/>
          </rPr>
          <t>■ Loading images
You can import an image and place it on a sheet as a picture shape.
Even in situations where cell and sheet settings alone cannot be handled, applications can be built flexibly.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<sst xmlns="http://schemas.openxmlformats.org/spreadsheetml/2006/main" count="282" uniqueCount="282">
  <si>
    <t>View More Report Demos</t>
  </si>
  <si>
    <t>Aged Accounts Receivable Statement</t>
  </si>
  <si>
    <t>Account Name:</t>
  </si>
  <si>
    <t>Division 1 Southwest Region</t>
  </si>
  <si>
    <t xml:space="preserve">Prepared By: </t>
  </si>
  <si>
    <t>Donald Williamson</t>
  </si>
  <si>
    <t>Account Number:</t>
  </si>
  <si>
    <t>GC285614</t>
  </si>
  <si>
    <t xml:space="preserve">Prepared Date: </t>
  </si>
  <si>
    <t>Aging Date:</t>
  </si>
  <si>
    <t>Customer</t>
  </si>
  <si>
    <t>Total Outstanding</t>
  </si>
  <si>
    <t>Current</t>
  </si>
  <si>
    <t>1 to 30 Days</t>
  </si>
  <si>
    <t>31 to 60 Days</t>
  </si>
  <si>
    <t>61 to 90 Days</t>
  </si>
  <si>
    <t>Over 90 Days</t>
  </si>
  <si>
    <t>Alan Hwang</t>
  </si>
  <si>
    <t>Alejandro Savely</t>
  </si>
  <si>
    <t>Andrew Allen</t>
  </si>
  <si>
    <t>Anna Andreadi</t>
  </si>
  <si>
    <t>Anthony Garverick</t>
  </si>
  <si>
    <t>Anthony Jacobs</t>
  </si>
  <si>
    <t>Benjamin Patterson</t>
  </si>
  <si>
    <t>Bryan Mills</t>
  </si>
  <si>
    <t>Cathy Prescott</t>
  </si>
  <si>
    <t>Christine Phan</t>
  </si>
  <si>
    <t>Christopher Conant</t>
  </si>
  <si>
    <t>Damala Kotsonis</t>
  </si>
  <si>
    <t>Dean Braden</t>
  </si>
  <si>
    <t>Deborah Brumfield</t>
  </si>
  <si>
    <t>Duane Huffman</t>
  </si>
  <si>
    <t>Eugene Barchas</t>
  </si>
  <si>
    <t>1 to 30 days</t>
  </si>
  <si>
    <t>Greg Hansen</t>
  </si>
  <si>
    <t>John Dryer</t>
  </si>
  <si>
    <t>31 to 60 days</t>
  </si>
  <si>
    <t>Joseph Holt</t>
  </si>
  <si>
    <t>Liz Carlisle</t>
  </si>
  <si>
    <t>Liz MacKendrick</t>
  </si>
  <si>
    <t>Total Due</t>
  </si>
  <si>
    <t>Maribeth Yedwab</t>
  </si>
  <si>
    <t>Mark Packer</t>
  </si>
  <si>
    <t>Mitch Webber</t>
  </si>
  <si>
    <t>Olvera Toch</t>
  </si>
  <si>
    <t>Patrick Gardner</t>
  </si>
  <si>
    <t>Patrick O'Donnell</t>
  </si>
  <si>
    <t>Rob Beeghly</t>
  </si>
  <si>
    <t>Rob Dowd</t>
  </si>
  <si>
    <t>Rose O'Brian</t>
  </si>
  <si>
    <t>Sam Zeldin</t>
  </si>
  <si>
    <t>Ted Trevino</t>
  </si>
  <si>
    <t>Total</t>
  </si>
  <si>
    <t>View More Table Demos</t>
  </si>
  <si>
    <t>CustomerName</t>
  </si>
  <si>
    <t>Invoice Number</t>
  </si>
  <si>
    <t>Invoice Date</t>
  </si>
  <si>
    <t>Due Date</t>
  </si>
  <si>
    <t>Invoice Amount</t>
  </si>
  <si>
    <t>Aging Date</t>
  </si>
  <si>
    <t>Herbert Flentye</t>
  </si>
  <si>
    <t>Charles McCrossin</t>
  </si>
  <si>
    <t>Katrina Edelman</t>
  </si>
  <si>
    <t>Mike Vittorini</t>
  </si>
  <si>
    <t>Philip Fox</t>
  </si>
  <si>
    <t>View More Cell Demos</t>
  </si>
  <si>
    <t>Background</t>
  </si>
  <si>
    <t>Font</t>
  </si>
  <si>
    <t>Cell Type</t>
  </si>
  <si>
    <t>Mescius Corporation</t>
  </si>
  <si>
    <t>Meiryo</t>
  </si>
  <si>
    <t>Combo Box Cells</t>
  </si>
  <si>
    <t>MESCIUS</t>
  </si>
  <si>
    <t>Calibri</t>
  </si>
  <si>
    <t>Button Cell Type</t>
  </si>
  <si>
    <t>SpreadJS</t>
  </si>
  <si>
    <t>Georgia + Underline</t>
  </si>
  <si>
    <t>Hyperlink</t>
  </si>
  <si>
    <t>Hyperlink Cell Type</t>
  </si>
  <si>
    <t>HTML 5</t>
  </si>
  <si>
    <t>Arial + Italic</t>
  </si>
  <si>
    <t>Checkbox Cell Type</t>
  </si>
  <si>
    <t>https://developer.mescius.com/spreadjs/demos/features/cells/cell-types/basic/purejs</t>
  </si>
  <si>
    <t>Border</t>
  </si>
  <si>
    <t>Alignment</t>
  </si>
  <si>
    <t>Comment</t>
  </si>
  <si>
    <t>Right-Aligned</t>
  </si>
  <si>
    <t>Schedule A</t>
  </si>
  <si>
    <t>Centered</t>
  </si>
  <si>
    <t>Schedule B</t>
  </si>
  <si>
    <t>Left-Aligned</t>
  </si>
  <si>
    <t>Schedule C</t>
  </si>
  <si>
    <t>TOP</t>
  </si>
  <si>
    <t>CTR</t>
  </si>
  <si>
    <t>BTM</t>
  </si>
  <si>
    <t>Top</t>
  </si>
  <si>
    <t>Center</t>
  </si>
  <si>
    <t>Bottom</t>
  </si>
  <si>
    <t>Span</t>
  </si>
  <si>
    <t>Format</t>
  </si>
  <si>
    <t>WordWrap, Overflow</t>
  </si>
  <si>
    <t>Formatting ON</t>
  </si>
  <si>
    <t>Formatting OFF</t>
  </si>
  <si>
    <t>ABCDEFGHIJKLMNOPQRSTUVWXYZ</t>
  </si>
  <si>
    <t>When Overflow is enabled, the cell value is displayed beyond the cell area.</t>
  </si>
  <si>
    <t>When WordWrap is enabled, cell values wrap within the cell area.</t>
  </si>
  <si>
    <t>View More Calculation Demos</t>
  </si>
  <si>
    <t>Average / Max / Min</t>
  </si>
  <si>
    <t>Basic Calculation 1</t>
  </si>
  <si>
    <t>Sum / Four Arithmetic Operations</t>
  </si>
  <si>
    <t>Basic Calculation 2</t>
  </si>
  <si>
    <t>Name</t>
  </si>
  <si>
    <t>Age (Years)</t>
  </si>
  <si>
    <t>Average Age (Years)
AVERAGE(D5:D9)</t>
  </si>
  <si>
    <t>Price (USD)</t>
  </si>
  <si>
    <t>Subtotal (USD)
SUM(L5:L9)</t>
  </si>
  <si>
    <t>Trish</t>
  </si>
  <si>
    <t>Laptops</t>
  </si>
  <si>
    <t>John</t>
  </si>
  <si>
    <t>Oldest Age (Years)
MAX(D5:D9)</t>
  </si>
  <si>
    <t>Monitor A</t>
  </si>
  <si>
    <t>Tax (USD)
O4*0.08</t>
  </si>
  <si>
    <t>Bob</t>
  </si>
  <si>
    <t>Monitor B</t>
  </si>
  <si>
    <t>Linda</t>
  </si>
  <si>
    <t>Youngest Age (Years)
MIN(D5:D9)</t>
  </si>
  <si>
    <t>Mouse</t>
  </si>
  <si>
    <t>Total (USD)
O4+O6</t>
  </si>
  <si>
    <t>Ashley</t>
  </si>
  <si>
    <t>Printer</t>
  </si>
  <si>
    <t>INDIRECT Consuming Functions</t>
  </si>
  <si>
    <t>Indirect Function</t>
  </si>
  <si>
    <t>Calculations with Array Formulas</t>
  </si>
  <si>
    <t>Array Formula</t>
  </si>
  <si>
    <t>Data A</t>
  </si>
  <si>
    <t>Data B</t>
  </si>
  <si>
    <t>INDIRECT Example of Executing a Function</t>
  </si>
  <si>
    <t>Product Price (USD)</t>
  </si>
  <si>
    <t>Number of Units Shipped</t>
  </si>
  <si>
    <t>Examples of Executing an Array Formula</t>
  </si>
  <si>
    <t>C18</t>
  </si>
  <si>
    <t xml:space="preserve">INDIRECT(D14) </t>
  </si>
  <si>
    <t>{=SUM(K14:K18*L14:L18)}</t>
  </si>
  <si>
    <t>C16</t>
  </si>
  <si>
    <t>INDIRECT("D14")</t>
  </si>
  <si>
    <t>Calculate the sum with</t>
  </si>
  <si>
    <t>C17</t>
  </si>
  <si>
    <t>SUM(INDIRECT(D18))</t>
  </si>
  <si>
    <t>USD</t>
  </si>
  <si>
    <t>C14</t>
  </si>
  <si>
    <t>C14:C18</t>
  </si>
  <si>
    <t>View More Conditional Formatting Demos</t>
  </si>
  <si>
    <t>Conditional Formatting (Cell Range)</t>
  </si>
  <si>
    <t>CF Cell Value</t>
  </si>
  <si>
    <t>Conditional Formatting (Data Bars)</t>
  </si>
  <si>
    <t>CF Databar</t>
  </si>
  <si>
    <t>With conditional formatting, change the cell background color with a value of 30~60</t>
  </si>
  <si>
    <t>Conditional formatting displays the data bar corresponding to the cell value</t>
  </si>
  <si>
    <t>Attempt Number</t>
  </si>
  <si>
    <t>A Score</t>
  </si>
  <si>
    <t>B Score</t>
  </si>
  <si>
    <t>C Score</t>
  </si>
  <si>
    <t>Sales Representative</t>
  </si>
  <si>
    <t>Sales in June</t>
  </si>
  <si>
    <t>Sales in July</t>
  </si>
  <si>
    <t>Sales in August</t>
  </si>
  <si>
    <t>Product Name</t>
  </si>
  <si>
    <t>Previous Year's Sales (USD)</t>
  </si>
  <si>
    <t>This Year's Sales (USD)</t>
  </si>
  <si>
    <t>Year-On-Year</t>
  </si>
  <si>
    <t>TV</t>
  </si>
  <si>
    <t>AC</t>
  </si>
  <si>
    <t>Refrigerator</t>
  </si>
  <si>
    <t>Microwave</t>
  </si>
  <si>
    <t>Recorder</t>
  </si>
  <si>
    <t>PC</t>
  </si>
  <si>
    <t>Conditional Formatting (Cell Contents)</t>
  </si>
  <si>
    <t>CF Specific Text</t>
  </si>
  <si>
    <t>Conditional Formatting (Icon)</t>
  </si>
  <si>
    <t>CF Icon Set</t>
  </si>
  <si>
    <t>HDD</t>
  </si>
  <si>
    <t>Change the background color of cells containing the text "candy" with conditional formatting</t>
  </si>
  <si>
    <t>Conditionally format to display icons that correspond to percent complete</t>
  </si>
  <si>
    <t>Month/Day</t>
  </si>
  <si>
    <t>NC</t>
  </si>
  <si>
    <t>FL</t>
  </si>
  <si>
    <t>PA</t>
  </si>
  <si>
    <t>Deploy</t>
  </si>
  <si>
    <t>14 Achievement Rate (%)</t>
  </si>
  <si>
    <t>15 Achievement Rate (%)</t>
  </si>
  <si>
    <t>16 Achievement Rate (%)</t>
  </si>
  <si>
    <t>Keyboard</t>
  </si>
  <si>
    <t>Leafing</t>
  </si>
  <si>
    <t>Cloudy Skies</t>
  </si>
  <si>
    <t>Candy</t>
  </si>
  <si>
    <t>Product Dept. A</t>
  </si>
  <si>
    <t>Monitor</t>
  </si>
  <si>
    <t>Product Dept. B</t>
  </si>
  <si>
    <t>Disk</t>
  </si>
  <si>
    <t>Product Dept. C</t>
  </si>
  <si>
    <t>USB Devices</t>
  </si>
  <si>
    <t>Product Dept. D</t>
  </si>
  <si>
    <t>Speakers</t>
  </si>
  <si>
    <t>Product Dept. E</t>
  </si>
  <si>
    <t>Other</t>
  </si>
  <si>
    <t>View Picture Shape Demo</t>
  </si>
  <si>
    <t>Picture Shape (Image)</t>
  </si>
  <si>
    <t>Quotation</t>
  </si>
  <si>
    <t>We would like to give you an estimate as follows.</t>
  </si>
  <si>
    <t>Total Price Quoted</t>
  </si>
  <si>
    <t>Pittsburgh, PA</t>
  </si>
  <si>
    <t>TEL: 111-222-333</t>
  </si>
  <si>
    <t>FAX: 333-555-666</t>
  </si>
  <si>
    <t>Quantity</t>
  </si>
  <si>
    <t>Unit</t>
  </si>
  <si>
    <t>Unit Price (Excluding Tax)</t>
  </si>
  <si>
    <t>Amount</t>
  </si>
  <si>
    <t>Audio System</t>
  </si>
  <si>
    <t>Rack</t>
  </si>
  <si>
    <t>Wiring Cables</t>
  </si>
  <si>
    <t>Power Cable</t>
  </si>
  <si>
    <t>Table</t>
  </si>
  <si>
    <t>Date of Sale</t>
  </si>
  <si>
    <t>Classifcation</t>
  </si>
  <si>
    <t>Model</t>
  </si>
  <si>
    <t>Drive System</t>
  </si>
  <si>
    <t>Color</t>
  </si>
  <si>
    <t>Sales Territory</t>
  </si>
  <si>
    <t>SUV</t>
  </si>
  <si>
    <t>Type R</t>
  </si>
  <si>
    <t>AWD</t>
  </si>
  <si>
    <t>Red</t>
  </si>
  <si>
    <t>Coupe</t>
  </si>
  <si>
    <t>Type G</t>
  </si>
  <si>
    <t>FR</t>
  </si>
  <si>
    <t>Blue</t>
  </si>
  <si>
    <t>GA</t>
  </si>
  <si>
    <t>Sedan</t>
  </si>
  <si>
    <t>VA</t>
  </si>
  <si>
    <t>Hybrid</t>
  </si>
  <si>
    <t>FF</t>
  </si>
  <si>
    <t>Yellow</t>
  </si>
  <si>
    <t>SC</t>
  </si>
  <si>
    <t>Wagon</t>
  </si>
  <si>
    <t>Black</t>
  </si>
  <si>
    <t>View More Sparkline Demos</t>
  </si>
  <si>
    <t>Sparkline Data: Budget Management</t>
  </si>
  <si>
    <t>Basic Revenue</t>
  </si>
  <si>
    <t>Extra Revenue A</t>
  </si>
  <si>
    <t>Extra Revenue B</t>
  </si>
  <si>
    <t>Advertising Expenses</t>
  </si>
  <si>
    <t>Interest Expense</t>
  </si>
  <si>
    <t>Benefit Expenses</t>
  </si>
  <si>
    <t>Consumable Costs</t>
  </si>
  <si>
    <t>Communications Costs</t>
  </si>
  <si>
    <t>Company Building Rent</t>
  </si>
  <si>
    <t>Selling Expenses</t>
  </si>
  <si>
    <t>Taxes and Dues</t>
  </si>
  <si>
    <t>Utilities</t>
  </si>
  <si>
    <t>Incidentals</t>
  </si>
  <si>
    <t>Outsourcing Costs</t>
  </si>
  <si>
    <t>Meeting Fees</t>
  </si>
  <si>
    <t>Payment Fees</t>
  </si>
  <si>
    <t>Balance</t>
  </si>
  <si>
    <t>View More Chart Demos</t>
  </si>
  <si>
    <t>Bus</t>
  </si>
  <si>
    <t>Uber</t>
  </si>
  <si>
    <t>Taxi</t>
  </si>
  <si>
    <t>Subway</t>
  </si>
  <si>
    <t>View More Barcode Demos</t>
  </si>
  <si>
    <t>QR Code</t>
  </si>
  <si>
    <t>DataMatrix</t>
  </si>
  <si>
    <t>NM-7 (CODABAR)</t>
  </si>
  <si>
    <t>PDF417</t>
  </si>
  <si>
    <t>EAN-8</t>
  </si>
  <si>
    <t>EAN-13</t>
  </si>
  <si>
    <t>Code39</t>
  </si>
  <si>
    <t>Code49</t>
  </si>
  <si>
    <t>Code93</t>
  </si>
  <si>
    <t>Code128</t>
  </si>
  <si>
    <t>GS1-128</t>
  </si>
  <si>
    <t>View More Shape Demos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</si>
</sst>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71" formatCode="_(* #,##0.00_);_(* (#,##0.00);_(* &quot;-&quot;??_);_(@_)"/>
    <numFmt numFmtId="172" formatCode="_(&quot;$&quot;* #,##0.00_);_(&quot;$&quot;* (#,##0.00);_(&quot;$&quot;* &quot;-&quot;??_);_(@_)"/>
    <numFmt numFmtId="173" formatCode="_(&quot;$&quot;* #,##0_);_(&quot;$&quot;* (#,##0);_(&quot;$&quot;* &quot;-&quot;_);_(@_)"/>
    <numFmt numFmtId="174" formatCode="_(&quot;$&quot;* #,##0.00_);_(&quot;$&quot;* \(#,##0.00\);_(&quot;$&quot;* &quot;-&quot;??_);_(@_)"/>
    <numFmt numFmtId="175" formatCode="_(&quot;$&quot;* #,##0_);_(&quot;$&quot;* \(#,##0\);_(&quot;$&quot;* &quot;-&quot;??_);_(@_)"/>
    <numFmt numFmtId="176" formatCode="&quot;$&quot;#,##0"/>
    <numFmt numFmtId="182" formatCode="&quot;$&quot;#,##0.00"/>
    <numFmt numFmtId="197" formatCode="[$-409]mmmm d, yyyy;@"/>
    <numFmt numFmtId="200" formatCode="mmmm d, yyyy"/>
    <numFmt numFmtId="284" formatCode="0.0%"/>
    <numFmt numFmtId="285" formatCode="$#,##0"/>
    <numFmt numFmtId="1885" formatCode="[$-F800]dddd, mmmm dd, yyyy"/>
    <numFmt numFmtId="1897" formatCode=" #,##0; (#,##0); -??;@"/>
    <numFmt numFmtId="1911" formatCode="[$$-409]#,##0"/>
    <numFmt numFmtId="1989" formatCode="yyyy.mm.dd"/>
    <numFmt numFmtId="2022" formatCode="#,##0 ;[Red](#,##0)"/>
  </numFmts>
  <fonts count="97">
    <font>
      <sz val="11.05"/>
      <color theme="1"/>
      <name val="Calibri"/>
      <scheme val="minor"/>
    </font>
    <font>
      <b val="0"/>
      <i val="0"/>
      <sz val="11.05"/>
      <color theme="1"/>
      <name val="Calibri"/>
      <scheme val="minor"/>
    </font>
    <font>
      <sz val="11.05"/>
      <color theme="0"/>
      <name val="Calibri"/>
      <scheme val="minor"/>
    </font>
    <font>
      <sz val="11.05"/>
      <color rgb="FF9C0006"/>
      <name val="Calibri"/>
      <scheme val="minor"/>
    </font>
    <font>
      <b/>
      <sz val="11.05"/>
      <color rgb="FFFA7D00"/>
      <name val="Calibri"/>
      <scheme val="minor"/>
    </font>
    <font>
      <b/>
      <sz val="11.05"/>
      <color theme="0"/>
      <name val="Calibri"/>
      <scheme val="minor"/>
    </font>
    <font>
      <i/>
      <sz val="11.05"/>
      <color rgb="FF7F7F7F"/>
      <name val="Calibri"/>
      <scheme val="minor"/>
    </font>
    <font>
      <sz val="11.05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.05"/>
      <color theme="3"/>
      <name val="Calibri"/>
      <scheme val="minor"/>
    </font>
    <font>
      <sz val="11.05"/>
      <color rgb="FF3F3F76"/>
      <name val="Calibri"/>
      <scheme val="minor"/>
    </font>
    <font>
      <sz val="11.05"/>
      <color rgb="FFFA7D00"/>
      <name val="Calibri"/>
      <scheme val="minor"/>
    </font>
    <font>
      <sz val="11.05"/>
      <color rgb="FF9C6500"/>
      <name val="Calibri"/>
      <scheme val="minor"/>
    </font>
    <font>
      <b/>
      <sz val="11.05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.05"/>
      <color theme="1"/>
      <name val="Calibri"/>
      <scheme val="minor"/>
    </font>
    <font>
      <sz val="11.05"/>
      <color rgb="FFFF0000"/>
      <name val="Calibri"/>
      <scheme val="minor"/>
    </font>
    <font>
      <b/>
      <i val="0"/>
      <sz val="11.05"/>
      <color theme="1"/>
      <name val="Calibri"/>
      <scheme val="minor"/>
    </font>
    <font>
      <b/>
      <i val="0"/>
      <sz val="18"/>
      <color theme="1"/>
      <name val="Calibri"/>
      <scheme val="minor"/>
    </font>
    <font>
      <b val="0"/>
      <i val="0"/>
      <sz val="14.05"/>
      <color theme="1"/>
      <name val="Calibri"/>
      <scheme val="minor"/>
    </font>
    <font>
      <b/>
      <i val="0"/>
      <sz val="11.05"/>
      <name val="Calibri"/>
      <scheme val="minor"/>
    </font>
    <font>
      <name val="Calibri"/>
      <scheme val="minor"/>
    </font>
    <font>
      <u/>
      <sz val="11"/>
      <color theme="10"/>
      <name val="Calibri"/>
    </font>
    <font>
      <u/>
      <sz val="14"/>
      <color theme="10"/>
      <name val="Calibri"/>
      <scheme val="minor"/>
    </font>
    <font>
      <b val="0"/>
      <i val="0"/>
      <sz val="14.05"/>
      <color rgb="FF7F7F7F"/>
      <name val="Calibri"/>
      <scheme val="minor"/>
    </font>
    <font>
      <sz val="11.05"/>
      <color rgb="FF7F7F7F"/>
      <name val="Calibri"/>
      <scheme val="minor"/>
    </font>
    <font>
      <b/>
      <sz val="18"/>
      <color rgb="FF7F7F7F"/>
      <name val="Calibri"/>
    </font>
    <font>
      <b/>
      <i val="0"/>
      <sz val="18"/>
      <color rgb="FF7F7F7F"/>
      <name val="Calibri"/>
    </font>
    <font>
      <b/>
      <i val="0"/>
      <sz val="12"/>
      <color rgb="FF7F7F7F"/>
      <name val="Calibri"/>
    </font>
    <font>
      <b val="0"/>
      <i val="0"/>
      <sz val="11.05"/>
      <color rgb="FF7F7F7F"/>
      <name val="Calibri"/>
      <scheme val="minor"/>
    </font>
    <font>
      <b val="0"/>
      <i val="0"/>
      <sz val="12"/>
      <color rgb="FF7F7F7F"/>
      <name val="Calibri"/>
    </font>
    <font>
      <sz val="12"/>
      <color rgb="FF7F7F7F"/>
      <name val="Calibri"/>
    </font>
    <font>
      <b val="0"/>
      <i val="0"/>
      <sz val="12"/>
      <color rgb="FF7F7F7F"/>
      <name val="Calibri"/>
    </font>
    <font>
      <sz val="12"/>
      <color theme="1"/>
      <name val="Calibri"/>
    </font>
    <font>
      <b/>
      <sz val="18"/>
      <color rgb="FF7F7F7F"/>
      <name val="Calibri"/>
    </font>
    <font>
      <sz val="13"/>
      <color theme="1" tint="0.35"/>
      <name val="Calibri"/>
      <scheme val="minor"/>
    </font>
    <font>
      <b val="0"/>
      <i val="0"/>
      <sz val="12"/>
      <color rgb="FF595959"/>
      <name val="Calibri"/>
    </font>
    <font>
      <u/>
      <sz val="14"/>
      <color rgb="FF7F7F7F"/>
      <name val="Calibri"/>
    </font>
    <font>
      <sz val="11.05"/>
      <color rgb="FF7F7F7F"/>
      <name val="Calibri"/>
    </font>
    <font>
      <sz val="10"/>
      <color rgb="FF7F7F7F"/>
      <name val="Calibri"/>
    </font>
    <font>
      <sz val="14"/>
      <color rgb="FFFFFFFF"/>
      <name val="Calibri"/>
    </font>
    <font>
      <b/>
      <i val="0"/>
      <sz val="18"/>
      <color rgb="FFFF885B"/>
      <name val="Calibri"/>
    </font>
    <font>
      <b/>
      <i val="0"/>
      <sz val="12"/>
      <color rgb="FF7F7F7F"/>
      <name val="Calibri"/>
    </font>
    <font>
      <b/>
      <sz val="24"/>
      <color rgb="FFFFFFFF"/>
      <name val="Calibri"/>
    </font>
    <font>
      <b val="0"/>
      <i val="0"/>
      <sz val="12"/>
      <color rgb="FFFF885B"/>
      <name val="Calibri"/>
    </font>
    <font>
      <b/>
      <i val="0"/>
      <sz val="18"/>
      <color rgb="FF566FFF"/>
      <name val="Calibri"/>
    </font>
    <font>
      <b val="0"/>
      <i val="0"/>
      <sz val="12"/>
      <color rgb="FF566FFF"/>
      <name val="Calibri"/>
    </font>
    <font>
      <b/>
      <i val="0"/>
      <sz val="18"/>
      <color rgb="FF32E3AE"/>
      <name val="Calibri"/>
    </font>
    <font>
      <b/>
      <i val="0"/>
      <sz val="12"/>
      <color rgb="FF777171"/>
      <name val="Calibri"/>
    </font>
    <font>
      <b val="0"/>
      <i val="0"/>
      <sz val="12"/>
      <color rgb="FF32E3AE"/>
      <name val="Calibri"/>
    </font>
    <font>
      <sz val="11.05"/>
      <color rgb="FFFFFFFF"/>
      <name val="Calibri"/>
    </font>
    <font>
      <b/>
      <i val="0"/>
      <sz val="18"/>
      <color rgb="FF777171"/>
      <name val="Calibri"/>
    </font>
    <font>
      <b val="0"/>
      <i val="0"/>
      <sz val="11"/>
      <color rgb="FF777171"/>
      <name val="Calibri"/>
    </font>
    <font>
      <sz val="11.05"/>
      <color rgb="FFFFFFFF"/>
      <name val="Calibri"/>
      <scheme val="minor"/>
    </font>
    <font>
      <b/>
      <i val="0"/>
      <sz val="18"/>
      <color rgb="FF59C7FF"/>
      <name val="Calibri"/>
    </font>
    <font>
      <b val="0"/>
      <i val="0"/>
      <sz val="12"/>
      <color rgb="FF59C7FF"/>
      <name val="Calibri"/>
    </font>
    <font>
      <b/>
      <i val="0"/>
      <sz val="12"/>
      <color rgb="FF595959"/>
      <name val="Calibri"/>
    </font>
    <font>
      <b/>
      <i val="0"/>
      <sz val="18"/>
      <color rgb="FF9E66FF"/>
      <name val="Calibri"/>
    </font>
    <font>
      <b val="0"/>
      <i val="0"/>
      <sz val="12"/>
      <color rgb="FF9E66FF"/>
      <name val="Calibri"/>
    </font>
    <font>
      <b/>
      <sz val="13"/>
      <color theme="1" tint="0.35"/>
      <name val="Calibri"/>
      <scheme val="minor"/>
    </font>
    <font>
      <b/>
      <sz val="12"/>
      <color rgb="FF595959"/>
      <name val="Calibri"/>
    </font>
    <font>
      <sz val="12"/>
      <color rgb="FF595959"/>
      <name val="Calibri"/>
    </font>
    <font>
      <b val="0"/>
      <i val="0"/>
      <sz val="11.05"/>
      <color rgb="FF595959"/>
      <name val="Calibri"/>
      <scheme val="minor"/>
    </font>
    <font>
      <b/>
      <sz val="11"/>
      <color rgb="FF595959"/>
      <name val="calibri"/>
      <scheme val="minor"/>
    </font>
    <font>
      <sz val="11.05"/>
      <color rgb="FF595959"/>
      <name val="Calibri"/>
      <scheme val="minor"/>
    </font>
    <font>
      <b/>
      <i val="0"/>
      <sz val="11"/>
      <color rgb="FF595959"/>
      <name val="calibri"/>
      <scheme val="minor"/>
    </font>
    <font>
      <sz val="11"/>
      <name val="Calibri"/>
      <scheme val="minor"/>
    </font>
    <font>
      <sz val="11"/>
      <name val="Calibri"/>
    </font>
    <font>
      <sz val="10"/>
      <name val="Meiryo"/>
    </font>
    <font>
      <sz val="10"/>
      <name val="Calibri"/>
    </font>
    <font>
      <sz val="11"/>
      <color rgb="FF853D0C"/>
      <name val="Calibri"/>
    </font>
    <font>
      <sz val="14"/>
      <name val="Calibri Light"/>
    </font>
    <font>
      <u/>
      <sz val="12"/>
      <name val="Georgia"/>
    </font>
    <font>
      <i/>
      <sz val="12"/>
      <name val="Arial"/>
    </font>
    <font>
      <u/>
      <sz val="11"/>
      <color rgb="FF0563C1"/>
      <name val="Calibri"/>
    </font>
    <font>
      <sz val="16"/>
      <name val="Calibri"/>
    </font>
    <font>
      <b/>
      <sz val="10"/>
      <name val="Calibri"/>
    </font>
    <font>
      <sz val="9"/>
      <name val="Segoe UI"/>
    </font>
    <font>
      <sz val="11"/>
      <name val="Segoe UI"/>
    </font>
    <font>
      <sz val="10"/>
      <name val="Segoe UI"/>
    </font>
    <font>
      <i/>
      <sz val="11"/>
      <color rgb="FF767272"/>
      <name val="Calibri"/>
    </font>
    <font>
      <b/>
      <sz val="9"/>
      <name val="Calibri"/>
    </font>
    <font>
      <b/>
      <sz val="11"/>
      <name val="Calibri"/>
    </font>
    <font>
      <sz val="11"/>
      <color rgb="FF3C3A39"/>
      <name val="Calibri"/>
    </font>
    <font>
      <sz val="10"/>
      <color rgb="FF3C3A39"/>
      <name val="Calibri"/>
    </font>
    <font>
      <sz val="11"/>
      <color rgb="FF3C3939"/>
      <name val="Calibri"/>
    </font>
    <font>
      <sz val="12"/>
      <name val="Calibri"/>
    </font>
    <font>
      <b/>
      <sz val="14"/>
      <name val="Calibri"/>
    </font>
    <font>
      <sz val="10"/>
      <color rgb="FFFFFFFF"/>
      <name val="Calibri"/>
    </font>
    <font>
      <b/>
      <sz val="10"/>
      <color rgb="FFFFFFFF"/>
      <name val="Calibri"/>
    </font>
    <font>
      <sz val="10"/>
      <color theme="1"/>
      <name val="Calibri"/>
    </font>
    <font>
      <sz val="11"/>
      <color rgb="FF666666"/>
      <name val="Calibri"/>
    </font>
    <font>
      <sz val="9"/>
      <color rgb="FF666666"/>
      <name val="Calibri"/>
    </font>
    <font>
      <sz val="9"/>
      <color rgb="FFFF0000"/>
      <name val="Calibri"/>
    </font>
    <font>
      <sz val="11"/>
      <color rgb="FF333333"/>
      <name val="Calibri"/>
    </font>
    <font>
      <b/>
      <sz val="9"/>
      <name val="normal Arial"/>
    </font>
  </fonts>
  <fills count="61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1E7BFF"/>
      </patternFill>
    </fill>
    <fill>
      <patternFill patternType="solid">
        <fgColor rgb="FFFF885B"/>
      </patternFill>
    </fill>
    <fill>
      <patternFill patternType="solid">
        <fgColor rgb="FF9E66FF"/>
      </patternFill>
    </fill>
    <fill>
      <patternFill patternType="solid">
        <fgColor theme="0"/>
      </patternFill>
    </fill>
    <fill>
      <patternFill patternType="solid">
        <fgColor rgb="FFA5A5A5"/>
      </patternFill>
    </fill>
    <fill>
      <patternFill patternType="solid">
        <fgColor rgb="FFBFBFBF"/>
      </patternFill>
    </fill>
    <fill>
      <patternFill patternType="solid">
        <fgColor rgb="FFD8D8D8"/>
      </patternFill>
    </fill>
    <fill>
      <patternFill patternType="solid">
        <fgColor rgb="FFE3EFDA"/>
      </patternFill>
    </fill>
    <fill>
      <patternFill patternType="solid">
        <fgColor rgb="FFC7E0B4"/>
      </patternFill>
    </fill>
    <fill>
      <patternFill patternType="solid">
        <fgColor rgb="FFABD08E"/>
      </patternFill>
    </fill>
    <fill>
      <patternFill patternType="solid">
        <fgColor rgb="FF578336"/>
      </patternFill>
    </fill>
    <fill>
      <patternFill patternType="solid">
        <fgColor rgb="FF3A5724"/>
      </patternFill>
    </fill>
    <fill>
      <patternFill patternType="solid">
        <fgColor rgb="FF2F77B7"/>
      </patternFill>
    </fill>
    <fill>
      <patternFill patternType="solid">
        <fgColor rgb="FF9BC3E6"/>
      </patternFill>
    </fill>
    <fill>
      <patternFill patternType="solid">
        <fgColor rgb="FFBDD7EE"/>
      </patternFill>
    </fill>
    <fill>
      <patternFill patternType="solid">
        <fgColor rgb="FFDDEBF7"/>
      </patternFill>
    </fill>
    <fill>
      <patternFill patternType="solid">
        <fgColor rgb="FFFFF3CC"/>
      </patternFill>
    </fill>
    <fill>
      <patternFill patternType="solid">
        <fgColor rgb="FFFFE699"/>
      </patternFill>
    </fill>
    <fill>
      <patternFill patternType="solid">
        <fgColor rgb="FFFFD966"/>
      </patternFill>
    </fill>
    <fill>
      <patternFill patternType="solid">
        <fgColor rgb="FFBF9000"/>
      </patternFill>
    </fill>
    <fill>
      <patternFill patternType="solid">
        <fgColor rgb="FF806000"/>
      </patternFill>
    </fill>
    <fill>
      <patternFill patternType="solid">
        <fgColor rgb="FFFFFFFF"/>
      </patternFill>
    </fill>
    <fill>
      <patternFill patternType="solid">
        <fgColor rgb="FFF8F7ED"/>
      </patternFill>
    </fill>
    <fill>
      <patternFill patternType="solid">
        <fgColor theme="9"/>
      </patternFill>
    </fill>
    <fill>
      <patternFill patternType="solid">
        <fgColor rgb="FFD6DCE4"/>
      </patternFill>
    </fill>
    <fill>
      <patternFill patternType="solid">
        <fgColor rgb="FFFAFAFA"/>
      </patternFill>
    </fill>
  </fills>
  <borders count="160">
    <border>
      <left/>
      <right/>
      <top/>
      <bottom/>
      <diagonal/>
    </border>
    <border>
      <left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>
        <color rgb="FF000000"/>
      </left>
      <right>
        <color rgb="FF000000"/>
      </right>
      <top>
        <color rgb="FF000000"/>
      </top>
      <bottom style="thick">
        <color theme="4"/>
      </bottom>
      <diagonal/>
    </border>
    <border>
      <left>
        <color rgb="FF000000"/>
      </left>
      <right>
        <color rgb="FF000000"/>
      </right>
      <top>
        <color rgb="FF000000"/>
      </top>
      <bottom style="thick">
        <color theme="4" tint="0.5"/>
      </bottom>
      <diagonal/>
    </border>
    <border>
      <left>
        <color rgb="FF000000"/>
      </left>
      <right>
        <color rgb="FF000000"/>
      </right>
      <top>
        <color rgb="FF000000"/>
      </top>
      <bottom style="medium">
        <color theme="4" tint="0.4"/>
      </bottom>
      <diagonal/>
    </border>
    <border>
      <left>
        <color rgb="FF000000"/>
      </left>
      <right>
        <color rgb="FF000000"/>
      </right>
      <top>
        <color rgb="FF000000"/>
      </top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>
        <color rgb="FF000000"/>
      </left>
      <right>
        <color rgb="FF000000"/>
      </right>
      <top style="thin">
        <color theme="4"/>
      </top>
      <bottom style="double">
        <color theme="4"/>
      </bottom>
      <diagonal/>
    </border>
    <border>
      <left>
        <color rgb="FF000000"/>
      </left>
      <right>
        <color rgb="FF000000"/>
      </right>
      <top style="thin">
        <color rgb="FF000000"/>
      </top>
      <bottom style="thin">
        <color rgb="FF000000"/>
      </bottom>
      <diagonal/>
    </border>
    <border>
      <left>
        <color rgb="FF000000"/>
      </left>
      <right>
        <color rgb="FF000000"/>
      </right>
      <top>
        <color rgb="FF000000"/>
      </top>
      <bottom style="thin">
        <color rgb="FF000000"/>
      </bottom>
      <diagonal/>
    </border>
    <border>
      <left>
        <color rgb="FF000000"/>
      </left>
      <right style="thin">
        <color rgb="FF000000"/>
      </right>
      <top>
        <color rgb="FF000000"/>
      </top>
      <bottom style="thin">
        <color rgb="FF000000"/>
      </bottom>
      <diagonal/>
    </border>
    <border>
      <left>
        <color rgb="FF000000"/>
      </left>
      <right style="thin">
        <color rgb="FF000000"/>
      </right>
      <top>
        <color rgb="FF000000"/>
      </top>
      <bottom>
        <color rgb="FF000000"/>
      </bottom>
      <diagonal/>
    </border>
    <border>
      <left style="thin">
        <color rgb="FF000000"/>
      </left>
      <right style="thin">
        <color rgb="FF000000"/>
      </right>
      <top>
        <color rgb="FF000000"/>
      </top>
      <bottom>
        <color rgb="FF000000"/>
      </bottom>
      <diagonal/>
    </border>
    <border>
      <left style="thin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n">
        <color rgb="FF000000"/>
      </right>
      <top style="thin">
        <color rgb="FF000000"/>
      </top>
      <bottom>
        <color rgb="FF000000"/>
      </bottom>
      <diagonal/>
    </border>
    <border>
      <left style="thin">
        <color rgb="FF000000"/>
      </left>
      <right style="thin">
        <color rgb="FF000000"/>
      </right>
      <top>
        <color rgb="FF000000"/>
      </top>
      <bottom style="thin">
        <color rgb="FF000000"/>
      </bottom>
      <diagonal/>
    </border>
    <border>
      <left style="thin">
        <color rgb="FF000000"/>
      </left>
      <right>
        <color rgb="FF000000"/>
      </right>
      <top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>
        <color rgb="FF000000"/>
      </bottom>
      <diagonal/>
    </border>
    <border>
      <left style="thin">
        <color rgb="FF000000"/>
      </left>
      <right>
        <color rgb="FF000000"/>
      </right>
      <top style="thin">
        <color rgb="FF000000"/>
      </top>
      <bottom>
        <color rgb="FF000000"/>
      </bottom>
      <diagonal/>
    </border>
    <border>
      <left>
        <color rgb="FF000000"/>
      </left>
      <right>
        <color rgb="FF000000"/>
      </right>
      <top>
        <color rgb="FF000000"/>
      </top>
      <bottom style="medium">
        <color rgb="FF000000"/>
      </bottom>
      <diagonal/>
    </border>
    <border>
      <right style="thin">
        <color rgb="FF000000"/>
      </right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  <diagonal/>
    </border>
    <border>
      <left style="thin">
        <color rgb="FF000000"/>
      </left>
      <bottom style="thin">
        <color rgb="FF000000"/>
      </bottom>
      <diagonal/>
    </border>
    <border>
      <right style="thin">
        <color rgb="FF000000"/>
      </right>
      <top style="thin">
        <color rgb="FF000000"/>
      </top>
      <diagonal/>
    </border>
    <border>
      <left style="thin">
        <color rgb="FF000000"/>
      </left>
      <right style="thin">
        <color rgb="FF000000"/>
      </right>
      <top style="thin">
        <color rgb="FF000000"/>
      </top>
      <diagonal/>
    </border>
    <border>
      <left style="thin">
        <color rgb="FF000000"/>
      </left>
      <top style="thin">
        <color rgb="FF000000"/>
      </top>
      <diagonal/>
    </border>
    <border>
      <right style="thin">
        <color rgb="FF000000"/>
      </right>
      <diagonal/>
    </border>
    <border>
      <left style="thin">
        <color rgb="FF000000"/>
      </left>
      <right style="thin">
        <color rgb="FF000000"/>
      </right>
      <diagonal/>
    </border>
    <border>
      <left style="thin">
        <color rgb="FF000000"/>
      </left>
      <diagonal/>
    </border>
    <border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>
        <color rgb="FF000000"/>
      </left>
      <right>
        <color rgb="FF000000"/>
      </right>
      <top>
        <color rgb="FF000000"/>
      </top>
      <bottom style="medium">
        <color rgb="FF7F7F7F"/>
      </bottom>
      <diagonal/>
    </border>
    <border>
      <left>
        <color rgb="FF000000"/>
      </left>
      <right>
        <color rgb="FF000000"/>
      </right>
      <top>
        <color rgb="FF000000"/>
      </top>
      <bottom style="medium">
        <color rgb="FF7F7F7F"/>
      </bottom>
      <diagonal/>
    </border>
    <border>
      <left>
        <color rgb="FF000000"/>
      </left>
      <right>
        <color rgb="FF000000"/>
      </right>
      <top>
        <color rgb="FF000000"/>
      </top>
      <bottom style="medium">
        <color rgb="FF7F7F7F"/>
      </bottom>
      <diagonal/>
    </border>
    <border>
      <left>
        <color rgb="FF000000"/>
      </left>
      <right>
        <color rgb="FF000000"/>
      </right>
      <top>
        <color rgb="FF000000"/>
      </top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>
        <color rgb="FF000000"/>
      </left>
      <right>
        <color rgb="FF000000"/>
      </right>
      <top style="thin">
        <color rgb="FF000000"/>
      </top>
      <bottom style="thin">
        <color rgb="FF7F7F7F"/>
      </bottom>
      <diagonal/>
    </border>
    <border>
      <left>
        <color rgb="FF000000"/>
      </left>
      <right>
        <color rgb="FF000000"/>
      </right>
      <top style="thin">
        <color rgb="FF000000"/>
      </top>
      <bottom style="thin">
        <color rgb="FF7F7F7F"/>
      </bottom>
      <diagonal/>
    </border>
    <border>
      <left/>
      <right>
        <color rgb="FF000000"/>
      </right>
      <top>
        <color rgb="FF000000"/>
      </top>
      <bottom>
        <color rgb="FF000000"/>
      </bottom>
      <diagonal/>
    </border>
    <border>
      <left/>
      <right/>
      <top/>
      <bottom style="thin">
        <color rgb="FF000000"/>
      </bottom>
      <diagonal/>
    </border>
    <border>
      <left>
        <color rgb="FF000000"/>
      </left>
      <right>
        <color rgb="FF000000"/>
      </right>
      <top/>
      <bottom>
        <color rgb="FF000000"/>
      </bottom>
      <diagonal/>
    </border>
    <border>
      <left style="thin">
        <color rgb="FF1E7BFF"/>
      </left>
      <right/>
      <top style="thin">
        <color rgb="FF1E7BFF"/>
      </top>
      <bottom/>
      <diagonal/>
    </border>
    <border>
      <left/>
      <right style="thin">
        <color rgb="FF1E7BFF"/>
      </right>
      <top style="thin">
        <color rgb="FF1E7BFF"/>
      </top>
      <bottom/>
      <diagonal/>
    </border>
    <border>
      <left style="thin">
        <color rgb="FF1E7BFF"/>
      </left>
      <right/>
      <top/>
      <bottom/>
      <diagonal/>
    </border>
    <border>
      <left/>
      <right style="thin">
        <color rgb="FF1E7BFF"/>
      </right>
      <top/>
      <bottom/>
      <diagonal/>
    </border>
    <border>
      <left style="thin">
        <color rgb="FF1E7BFF"/>
      </left>
      <right/>
      <top/>
      <bottom style="thin">
        <color rgb="FF1E7BFF"/>
      </bottom>
      <diagonal/>
    </border>
    <border>
      <left/>
      <right style="thin">
        <color rgb="FF1E7BFF"/>
      </right>
      <top/>
      <bottom style="thin">
        <color rgb="FF1E7BFF"/>
      </bottom>
      <diagonal/>
    </border>
    <border>
      <left style="thin">
        <color rgb="FFFF885B"/>
      </left>
      <right/>
      <top style="thin">
        <color rgb="FFFF885B"/>
      </top>
      <bottom/>
      <diagonal/>
    </border>
    <border>
      <left/>
      <right style="thin">
        <color rgb="FFFF885B"/>
      </right>
      <top style="thin">
        <color rgb="FFFF885B"/>
      </top>
      <bottom/>
      <diagonal/>
    </border>
    <border>
      <left style="thin">
        <color rgb="FFFF885B"/>
      </left>
      <right/>
      <top/>
      <bottom/>
      <diagonal/>
    </border>
    <border>
      <left/>
      <right style="thin">
        <color rgb="FFFF885B"/>
      </right>
      <top/>
      <bottom/>
      <diagonal/>
    </border>
    <border>
      <left style="thin">
        <color rgb="FFFF885B"/>
      </left>
      <right/>
      <top/>
      <bottom style="thin">
        <color rgb="FFFF885B"/>
      </bottom>
      <diagonal/>
    </border>
    <border>
      <left/>
      <right style="thin">
        <color rgb="FFFF885B"/>
      </right>
      <top/>
      <bottom style="thin">
        <color rgb="FFFF885B"/>
      </bottom>
      <diagonal/>
    </border>
    <border>
      <left style="thin">
        <color rgb="FF9E66FF"/>
      </left>
      <right/>
      <top style="thin">
        <color rgb="FF9E66FF"/>
      </top>
      <bottom/>
      <diagonal/>
    </border>
    <border>
      <left/>
      <right style="thin">
        <color rgb="FF9E66FF"/>
      </right>
      <top style="thin">
        <color rgb="FF9E66FF"/>
      </top>
      <bottom/>
      <diagonal/>
    </border>
    <border>
      <left style="thin">
        <color rgb="FF9E66FF"/>
      </left>
      <right/>
      <top/>
      <bottom/>
      <diagonal/>
    </border>
    <border>
      <left/>
      <right style="thin">
        <color rgb="FF9E66FF"/>
      </right>
      <top/>
      <bottom/>
      <diagonal/>
    </border>
    <border>
      <left style="thin">
        <color rgb="FF9E66FF"/>
      </left>
      <right/>
      <top/>
      <bottom style="thin">
        <color rgb="FF9E66FF"/>
      </bottom>
      <diagonal/>
    </border>
    <border>
      <left/>
      <right style="thin">
        <color rgb="FF9E66FF"/>
      </right>
      <top/>
      <bottom style="thin">
        <color rgb="FF9E66FF"/>
      </bottom>
      <diagonal/>
    </border>
    <border>
      <left>
        <color rgb="FF000000"/>
      </left>
      <right>
        <color rgb="FF000000"/>
      </right>
      <top>
        <color rgb="FF000000"/>
      </top>
      <bottom/>
      <diagonal/>
    </border>
    <border>
      <left>
        <color rgb="FF000000"/>
      </left>
      <right>
        <color rgb="FF000000"/>
      </right>
      <top style="thin">
        <color rgb="FF000000"/>
      </top>
      <bottom>
        <color rgb="FF000000"/>
      </bottom>
      <diagonal/>
    </border>
    <border>
      <left/>
      <right/>
      <top style="thin">
        <color theme="6"/>
      </top>
      <bottom style="thin">
        <color rgb="FF000000"/>
      </bottom>
      <diagonal/>
    </border>
    <border>
      <left/>
      <right/>
      <top>
        <color rgb="FF000000"/>
      </top>
      <bottom style="thin">
        <color theme="8"/>
      </bottom>
      <diagonal/>
    </border>
    <border>
      <left/>
      <right/>
      <top/>
      <bottom/>
      <diagonal/>
    </border>
    <border>
      <left/>
      <right/>
      <top/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>
        <color rgb="FF000000"/>
      </left>
      <right>
        <color rgb="FF000000"/>
      </right>
      <top style="thin">
        <color theme="8"/>
      </top>
      <bottom style="thin">
        <color theme="8"/>
      </bottom>
      <diagonal/>
    </border>
    <border>
      <left>
        <color rgb="FF000000"/>
      </left>
      <right>
        <color rgb="FF000000"/>
      </right>
      <top>
        <color rgb="FF000000"/>
      </top>
      <bottom style="thin">
        <color theme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bottom style="thin">
        <color rgb="FF000000"/>
      </bottom>
    </border>
    <border>
      <left style="thick">
        <color rgb="FF70AD47"/>
      </left>
      <top style="thick">
        <color rgb="FF70AD47"/>
      </top>
    </border>
    <border>
      <top style="thick">
        <color rgb="FF70AD47"/>
      </top>
    </border>
    <border>
      <right style="thick">
        <color rgb="FF70AD47"/>
      </right>
      <top style="thick">
        <color rgb="FF70AD47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ck">
        <color rgb="FF70AD47"/>
      </left>
    </border>
    <border>
      <left style="double">
        <color rgb="FF70AD47"/>
      </left>
      <top style="double">
        <color rgb="FF70AD47"/>
      </top>
    </border>
    <border>
      <top style="double">
        <color rgb="FF70AD47"/>
      </top>
      <bottom style="thin">
        <color rgb="FF70AD47"/>
      </bottom>
    </border>
    <border>
      <right style="double">
        <color rgb="FF70AD47"/>
      </right>
      <top style="double">
        <color rgb="FF70AD47"/>
      </top>
    </border>
    <border>
      <right style="thick">
        <color rgb="FF70AD47"/>
      </right>
    </border>
    <border>
      <left style="double">
        <color rgb="FF70AD47"/>
      </left>
      <right style="thin">
        <color rgb="FF70AD47"/>
      </right>
    </border>
    <border>
      <left style="thin">
        <color rgb="FF70AD47"/>
      </left>
      <top style="thin">
        <color rgb="FF70AD47"/>
      </top>
    </border>
    <border>
      <top style="thin">
        <color rgb="FF70AD47"/>
      </top>
      <bottom style="dashed">
        <color rgb="FF70AD47"/>
      </bottom>
    </border>
    <border>
      <right style="thin">
        <color rgb="FF70AD47"/>
      </right>
      <top style="thin">
        <color rgb="FF70AD47"/>
      </top>
    </border>
    <border>
      <right style="double">
        <color rgb="FF70AD47"/>
      </right>
    </border>
    <border>
      <left style="thin">
        <color rgb="FF70AD47"/>
      </left>
      <right style="dashed">
        <color rgb="FF70AD47"/>
      </right>
    </border>
    <border>
      <left style="dashed">
        <color rgb="FF70AD47"/>
      </left>
      <top style="dashed">
        <color rgb="FF70AD47"/>
      </top>
      <bottom style="dashed">
        <color rgb="FF70AD47"/>
      </bottom>
    </border>
    <border>
      <top style="dashed">
        <color rgb="FF70AD47"/>
      </top>
      <bottom style="dashed">
        <color rgb="FF70AD47"/>
      </bottom>
    </border>
    <border>
      <right style="dashed">
        <color rgb="FF70AD47"/>
      </right>
      <top style="dashed">
        <color rgb="FF70AD47"/>
      </top>
      <bottom style="dashed">
        <color rgb="FF70AD47"/>
      </bottom>
    </border>
    <border>
      <right style="thin">
        <color rgb="FF70AD47"/>
      </right>
    </border>
    <border>
      <left style="thin">
        <color rgb="FF70AD47"/>
      </left>
      <bottom style="thin">
        <color rgb="FF70AD47"/>
      </bottom>
    </border>
    <border>
      <bottom style="thin">
        <color rgb="FF70AD47"/>
      </bottom>
    </border>
    <border>
      <right style="thin">
        <color rgb="FF70AD47"/>
      </right>
      <bottom style="thin">
        <color rgb="FF70AD47"/>
      </bottom>
    </border>
    <border>
      <left style="double">
        <color rgb="FF70AD47"/>
      </left>
      <bottom style="double">
        <color rgb="FF70AD47"/>
      </bottom>
    </border>
    <border>
      <bottom style="double">
        <color rgb="FF70AD47"/>
      </bottom>
    </border>
    <border>
      <right style="double">
        <color rgb="FF70AD47"/>
      </right>
      <bottom style="double">
        <color rgb="FF70AD47"/>
      </bottom>
    </border>
    <border>
      <left style="thick">
        <color rgb="FF70AD47"/>
      </left>
      <bottom style="thick">
        <color rgb="FF70AD47"/>
      </bottom>
    </border>
    <border>
      <bottom style="thick">
        <color rgb="FF70AD47"/>
      </bottom>
    </border>
    <border>
      <right style="thick">
        <color rgb="FF70AD47"/>
      </right>
      <bottom style="thick">
        <color rgb="FF70AD47"/>
      </bottom>
    </border>
    <border>
      <left style="thin">
        <color rgb="FF5B9BD5"/>
      </left>
      <right style="thin">
        <color rgb="FF5B9BD5"/>
      </right>
      <top style="thin">
        <color rgb="FF5B9BD5"/>
      </top>
      <bottom style="thin">
        <color rgb="FF5B9BD5"/>
      </bottom>
    </border>
    <border>
      <left style="dashed">
        <color rgb="FF7F7F7F"/>
      </left>
      <right style="dashed">
        <color rgb="FF7F7F7F"/>
      </right>
      <top style="dashed">
        <color rgb="FF7F7F7F"/>
      </top>
      <bottom style="dashed">
        <color rgb="FF7F7F7F"/>
      </bottom>
    </border>
    <border>
      <top style="dashed">
        <color rgb="FF7F7F7F"/>
      </top>
    </border>
    <border>
      <left style="thick">
        <color rgb="FFFFC000"/>
      </left>
      <right style="thin">
        <color rgb="FFBFBFBF"/>
      </right>
      <top style="thick">
        <color rgb="FFFFC000"/>
      </top>
      <bottom style="thin">
        <color rgb="FFBFBFBF"/>
      </bottom>
    </border>
    <border>
      <left style="thin">
        <color rgb="FFBFBFBF"/>
      </left>
      <right style="thick">
        <color rgb="FFFFC000"/>
      </right>
      <top style="thick">
        <color rgb="FFFFC000"/>
      </top>
      <bottom style="thin">
        <color rgb="FFBFBFBF"/>
      </bottom>
    </border>
    <border>
      <left style="thick">
        <color rgb="FFFFC000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ck">
        <color rgb="FFFFC000"/>
      </right>
      <top style="thin">
        <color rgb="FFBFBFBF"/>
      </top>
      <bottom style="thin">
        <color rgb="FFBFBFBF"/>
      </bottom>
    </border>
    <border>
      <left style="thick">
        <color rgb="FFFFC000"/>
      </left>
      <right style="thin">
        <color rgb="FFBFBFBF"/>
      </right>
      <top style="thin">
        <color rgb="FFBFBFBF"/>
      </top>
      <bottom>
        <color rgb="FF000000"/>
      </bottom>
    </border>
    <border>
      <left style="thin">
        <color rgb="FFBFBFBF"/>
      </left>
      <right style="thick">
        <color rgb="FFFFC000"/>
      </right>
      <top style="thin">
        <color rgb="FFBFBFBF"/>
      </top>
      <bottom>
        <color rgb="FF000000"/>
      </bottom>
    </border>
    <border>
      <left style="thick">
        <color rgb="FFFFC000"/>
      </left>
      <right style="thin">
        <color rgb="FFBFBFBF"/>
      </right>
      <top>
        <color rgb="FFFFC000"/>
      </top>
      <bottom style="thin">
        <color rgb="FFBFBFBF"/>
      </bottom>
    </border>
    <border>
      <left style="thin">
        <color rgb="FFBFBFBF"/>
      </left>
      <right style="thick">
        <color rgb="FFFFC000"/>
      </right>
      <top>
        <color rgb="FFFFC000"/>
      </top>
      <bottom style="thin">
        <color rgb="FFBFBFBF"/>
      </bottom>
    </border>
    <border>
      <left style="thick">
        <color rgb="FFFFC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ck">
        <color rgb="FFFFC000"/>
      </right>
      <top style="thin">
        <color rgb="FFBFBFBF"/>
      </top>
      <bottom style="thin">
        <color rgb="FFBFBFBF"/>
      </bottom>
      <diagonal/>
    </border>
    <border>
      <left style="thick">
        <color rgb="FFFFC000"/>
      </left>
      <right style="thin">
        <color rgb="FFBFBFBF"/>
      </right>
      <top style="thin">
        <color rgb="FFBFBFBF"/>
      </top>
      <bottom style="thick">
        <color rgb="FFFFC000"/>
      </bottom>
    </border>
    <border>
      <left style="thin">
        <color rgb="FFBFBFBF"/>
      </left>
      <right style="thick">
        <color rgb="FFFFC000"/>
      </right>
      <top style="thin">
        <color rgb="FFBFBFBF"/>
      </top>
      <bottom style="thick">
        <color rgb="FFFFC000"/>
      </bottom>
    </border>
    <border>
      <left style="thick">
        <color rgb="FFFFC000"/>
      </left>
      <right style="thin">
        <color rgb="FFBFBFBF"/>
      </right>
      <top style="thin">
        <color rgb="FFBFBFBF"/>
      </top>
      <bottom style="thick">
        <color rgb="FFFFC000"/>
      </bottom>
      <diagonal/>
    </border>
    <border>
      <left style="thin">
        <color rgb="FFBFBFBF"/>
      </left>
      <right style="thick">
        <color rgb="FFFFC000"/>
      </right>
      <top style="thin">
        <color rgb="FFBFBFBF"/>
      </top>
      <bottom style="thick">
        <color rgb="FFFFC000"/>
      </bottom>
      <diagonal/>
    </border>
    <border>
      <left style="thick">
        <color rgb="FFFFC000"/>
      </left>
      <right style="thick">
        <color rgb="FFFFC000"/>
      </right>
      <top style="thick">
        <color rgb="FFFFC000"/>
      </top>
      <bottom style="thin">
        <color rgb="FFBFBFBF"/>
      </bottom>
    </border>
    <border>
      <left style="thick">
        <color rgb="FFFFC000"/>
      </left>
      <right style="thin">
        <color rgb="FFBFBFBF"/>
      </right>
      <top style="thick">
        <color rgb="FFFFC000"/>
      </top>
      <bottom>
        <color rgb="FFFFC000"/>
      </bottom>
      <diagonal/>
    </border>
    <border>
      <left style="thick">
        <color rgb="FFFFC000"/>
      </left>
      <right style="thick">
        <color rgb="FFFFC000"/>
      </right>
      <top style="thick">
        <color rgb="FFFFC000"/>
      </top>
      <bottom>
        <color rgb="FFFFC000"/>
      </bottom>
      <diagonal/>
    </border>
    <border>
      <left style="thick">
        <color rgb="FFFFC000"/>
      </left>
      <right style="thin">
        <color rgb="FFBFBFBF"/>
      </right>
      <top>
        <color rgb="FFFFC000"/>
      </top>
      <bottom>
        <color rgb="FFFFC000"/>
      </bottom>
      <diagonal/>
    </border>
    <border>
      <left style="thick">
        <color rgb="FFFFC000"/>
      </left>
      <right style="thick">
        <color rgb="FFFFC000"/>
      </right>
      <top>
        <color rgb="FFFFC000"/>
      </top>
      <bottom>
        <color rgb="FFFFC000"/>
      </bottom>
      <diagonal/>
    </border>
    <border>
      <left style="thick">
        <color rgb="FFFFC000"/>
      </left>
      <right style="thin">
        <color rgb="FFBFBFBF"/>
      </right>
      <top>
        <color rgb="FFFFC000"/>
      </top>
      <bottom style="thin">
        <color rgb="FFBFBFBF"/>
      </bottom>
      <diagonal/>
    </border>
    <border>
      <left style="thick">
        <color rgb="FFFFC000"/>
      </left>
      <right style="thick">
        <color rgb="FFFFC000"/>
      </right>
      <top>
        <color rgb="FFFFC000"/>
      </top>
      <bottom style="thin">
        <color rgb="FFBFBFBF"/>
      </bottom>
      <diagonal/>
    </border>
    <border>
      <left style="thick">
        <color rgb="FFFFC000"/>
      </left>
      <top style="thin">
        <color rgb="FFBFBFBF"/>
      </top>
      <bottom style="thick">
        <color rgb="FFFFC000"/>
      </bottom>
    </border>
    <border>
      <right style="thick">
        <color rgb="FFFFC000"/>
      </right>
      <top style="thin">
        <color rgb="FFBFBFBF"/>
      </top>
      <bottom style="thick">
        <color rgb="FFFFC000"/>
      </bottom>
    </border>
    <border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</border>
    <border>
      <right style="thin">
        <color rgb="FFBFBFBF"/>
      </right>
    </border>
    <border>
      <right style="dashed">
        <color rgb="FFBFBFBF"/>
      </right>
    </border>
    <border>
      <left style="dashed">
        <color rgb="FFBFBFBF"/>
      </left>
    </border>
    <border>
      <right style="thin">
        <color rgb="FFFFFFFF"/>
      </right>
      <bottom style="medium">
        <color rgb="FFFFFFFF"/>
      </bottom>
      <diagonal/>
    </border>
    <border>
      <left/>
      <right style="thin">
        <color rgb="FFFFFFFF"/>
      </right>
      <top/>
      <bottom style="medium">
        <color rgb="FFFFFFFF"/>
      </bottom>
      <diagonal/>
    </border>
    <border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right style="thin">
        <color rgb="FFFFFFFF"/>
      </right>
      <top style="thin">
        <color rgb="FFFFFFFF"/>
      </top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bottom style="medium">
        <color rgb="FFFFFFFF"/>
      </bottom>
      <diagonal/>
    </border>
    <border>
      <left style="thin">
        <color rgb="FFFFFFFF"/>
      </left>
      <right style="thin">
        <color rgb="FFFFFFFF"/>
      </right>
      <top/>
      <bottom style="medium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bottom style="medium">
        <color rgb="FFFFFFFF"/>
      </bottom>
      <diagonal/>
    </border>
    <border>
      <left style="thin">
        <color rgb="FFFFFFFF"/>
      </left>
      <right/>
      <top/>
      <bottom style="medium">
        <color rgb="FFFFFFFF"/>
      </bottom>
      <diagonal/>
    </border>
    <border>
      <left style="thin">
        <color rgb="FFFFFFFF"/>
      </lef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top style="thin">
        <color rgb="FFFFFFFF"/>
      </top>
      <diagonal/>
    </border>
    <border>
      <left style="thin">
        <color rgb="FFFFFFFF"/>
      </left>
      <right/>
      <top style="thin">
        <color rgb="FFFFFFFF"/>
      </top>
      <bottom/>
      <diagonal/>
    </border>
    <border>
      <bottom style="thin">
        <color rgb="FFAEADAC"/>
      </bottom>
    </border>
    <border>
      <left style="thin">
        <color rgb="FFAEADAC"/>
      </left>
      <right style="thin">
        <color rgb="FFAEADAC"/>
      </right>
      <top style="thin">
        <color rgb="FFAEADAC"/>
      </top>
      <bottom style="thin">
        <color rgb="FFAEADAC"/>
      </bottom>
    </border>
    <border>
      <left style="thin">
        <color rgb="FFAEADAC"/>
      </left>
      <top style="thin">
        <color rgb="FFAEADAC"/>
      </top>
      <bottom style="thin">
        <color rgb="FFAEADAC"/>
      </bottom>
    </border>
    <border>
      <left style="thin">
        <color rgb="FFAEADAC"/>
      </left>
      <right style="thin">
        <color rgb="FFAEADAC"/>
      </right>
      <bottom style="thin">
        <color rgb="FFAEADAC"/>
      </bottom>
    </border>
    <border>
      <left style="thin">
        <color rgb="FFAEADAC"/>
      </left>
      <bottom style="thin">
        <color rgb="FFAEADAC"/>
      </bottom>
    </border>
    <border>
      <left style="thin">
        <color rgb="FFAEADAC"/>
      </left>
      <right style="thin">
        <color rgb="FFAEADAC"/>
      </right>
      <top style="thin">
        <color rgb="FFAEADAC"/>
      </top>
    </border>
    <border>
      <left style="thin">
        <color rgb="FFAEADAC"/>
      </left>
      <top style="thin">
        <color rgb="FFAEADAC"/>
      </top>
    </border>
  </borders>
  <cellStyleXfs count="50">
    <xf numFmtId="0" fontId="0" fillId="0" borderId="0"/>
    <xf numFmtId="0" fontId="1" fillId="0" borderId="1"/>
    <xf numFmtId="0" fontId="0" fillId="2" borderId="0"/>
    <xf numFmtId="0" fontId="0" fillId="3" borderId="0"/>
    <xf numFmtId="0" fontId="0" fillId="4" borderId="0"/>
    <xf numFmtId="0" fontId="0" fillId="5" borderId="0"/>
    <xf numFmtId="0" fontId="0" fillId="6" borderId="0"/>
    <xf numFmtId="0" fontId="0" fillId="7" borderId="0"/>
    <xf numFmtId="0" fontId="0" fillId="8" borderId="0"/>
    <xf numFmtId="0" fontId="0" fillId="9" borderId="0"/>
    <xf numFmtId="0" fontId="0" fillId="10" borderId="0"/>
    <xf numFmtId="0" fontId="0" fillId="11" borderId="0"/>
    <xf numFmtId="0" fontId="0" fillId="12" borderId="0"/>
    <xf numFmtId="0" fontId="0" fillId="13" borderId="0"/>
    <xf numFmtId="0" fontId="2" fillId="14" borderId="0"/>
    <xf numFmtId="0" fontId="2" fillId="15" borderId="0"/>
    <xf numFmtId="0" fontId="2" fillId="16" borderId="0"/>
    <xf numFmtId="0" fontId="2" fillId="17" borderId="0"/>
    <xf numFmtId="0" fontId="2" fillId="18" borderId="0"/>
    <xf numFmtId="0" fontId="2" fillId="19" borderId="0"/>
    <xf numFmtId="0" fontId="2" fillId="20" borderId="0"/>
    <xf numFmtId="0" fontId="2" fillId="21" borderId="0"/>
    <xf numFmtId="0" fontId="2" fillId="22" borderId="0"/>
    <xf numFmtId="0" fontId="2" fillId="23" borderId="0"/>
    <xf numFmtId="0" fontId="2" fillId="24" borderId="0"/>
    <xf numFmtId="0" fontId="2" fillId="25" borderId="0"/>
    <xf numFmtId="0" fontId="3" fillId="26" borderId="0"/>
    <xf numFmtId="0" fontId="4" fillId="27" borderId="2"/>
    <xf numFmtId="0" fontId="5" fillId="28" borderId="3"/>
    <xf numFmtId="171" fontId="0" fillId="0" borderId="0"/>
    <xf numFmtId="41" fontId="0" fillId="0" borderId="0"/>
    <xf numFmtId="172" fontId="0" fillId="0" borderId="0"/>
    <xf numFmtId="173" fontId="0" fillId="0" borderId="0"/>
    <xf numFmtId="0" fontId="6" fillId="0" borderId="0"/>
    <xf numFmtId="0" fontId="7" fillId="29" borderId="0"/>
    <xf numFmtId="0" fontId="8" fillId="0" borderId="4"/>
    <xf numFmtId="0" fontId="9" fillId="0" borderId="5"/>
    <xf numFmtId="0" fontId="10" fillId="0" borderId="6"/>
    <xf numFmtId="0" fontId="10" fillId="0" borderId="0"/>
    <xf numFmtId="0" fontId="11" fillId="30" borderId="2"/>
    <xf numFmtId="0" fontId="12" fillId="0" borderId="7"/>
    <xf numFmtId="0" fontId="13" fillId="31" borderId="0"/>
    <xf numFmtId="0" fontId="0" fillId="32" borderId="8"/>
    <xf numFmtId="0" fontId="14" fillId="27" borderId="9"/>
    <xf numFmtId="9" fontId="0" fillId="0" borderId="0"/>
    <xf numFmtId="0" fontId="15" fillId="0" borderId="0"/>
    <xf numFmtId="0" fontId="16" fillId="0" borderId="10"/>
    <xf numFmtId="0" fontId="17" fillId="0" borderId="0"/>
    <xf numFmtId="0" fontId="23" fillId="0" borderId="0"/>
    <xf numFmtId="0" fontId="0" fillId="0" borderId="0"/>
  </cellStyleXfs>
  <cellXfs count="331">
    <xf numFmtId="0" fontId="0" fillId="0" borderId="0" xfId="0"/>
    <xf numFmtId="0" fontId="24" fillId="0" borderId="33" xfId="48">
      <alignment horizontal="center" vertical="center"/>
    </xf>
    <xf numFmtId="0" fontId="24" fillId="33" borderId="33" xfId="48">
      <alignment vertical="center"/>
    </xf>
    <xf numFmtId="0" fontId="0" fillId="33" borderId="0" xfId="0"/>
    <xf numFmtId="14" fontId="25" fillId="33" borderId="1" xfId="0">
      <alignment horizontal="center" vertical="top" wrapText="1"/>
    </xf>
    <xf numFmtId="0" fontId="25" fillId="33" borderId="1" xfId="0">
      <alignment vertical="top" wrapText="1"/>
    </xf>
    <xf numFmtId="0" fontId="26" fillId="33" borderId="0" xfId="0"/>
    <xf numFmtId="0" fontId="24" fillId="0" borderId="33" xfId="48">
      <alignment vertical="center"/>
    </xf>
    <xf numFmtId="0" fontId="27" fillId="0" borderId="0" xfId="0">
      <alignment horizontal="center" vertical="center"/>
    </xf>
    <xf numFmtId="0" fontId="27" fillId="0" borderId="0" xfId="0">
      <alignment vertical="center"/>
    </xf>
    <xf numFmtId="0" fontId="28" fillId="0" borderId="1" xfId="0">
      <alignment horizontal="left" vertical="center"/>
    </xf>
    <xf numFmtId="0" fontId="25" fillId="33" borderId="34" xfId="0">
      <alignment horizontal="left" vertical="top"/>
    </xf>
    <xf numFmtId="0" fontId="25" fillId="33" borderId="34" xfId="0">
      <alignment horizontal="center" vertical="top" wrapText="1"/>
    </xf>
    <xf numFmtId="197" fontId="29" fillId="33" borderId="35" xfId="0">
      <alignment horizontal="center" vertical="top" wrapText="1"/>
    </xf>
    <xf numFmtId="197" fontId="29" fillId="0" borderId="36" xfId="0">
      <alignment horizontal="center" vertical="top" wrapText="1"/>
    </xf>
    <xf numFmtId="0" fontId="30" fillId="33" borderId="1" xfId="0">
      <alignment horizontal="left" vertical="bottom"/>
    </xf>
    <xf numFmtId="0" fontId="26" fillId="33" borderId="1" xfId="0"/>
    <xf numFmtId="0" fontId="30" fillId="33" borderId="1" xfId="0"/>
    <xf numFmtId="0" fontId="29" fillId="33" borderId="1" xfId="0"/>
    <xf numFmtId="0" fontId="31" fillId="33" borderId="37" xfId="0"/>
    <xf numFmtId="0" fontId="32" fillId="33" borderId="38" xfId="0"/>
    <xf numFmtId="0" fontId="32" fillId="33" borderId="0" xfId="0"/>
    <xf numFmtId="0" fontId="29" fillId="33" borderId="1" xfId="0">
      <alignment horizontal="right" vertical="bottom"/>
    </xf>
    <xf numFmtId="0" fontId="31" fillId="33" borderId="37" xfId="0">
      <alignment horizontal="left" vertical="bottom"/>
    </xf>
    <xf numFmtId="0" fontId="30" fillId="33" borderId="37" xfId="0">
      <alignment horizontal="left" vertical="bottom"/>
    </xf>
    <xf numFmtId="0" fontId="30" fillId="33" borderId="1" xfId="0">
      <alignment horizontal="left" vertical="bottom"/>
    </xf>
    <xf numFmtId="0" fontId="31" fillId="33" borderId="39" xfId="0"/>
    <xf numFmtId="200" fontId="31" fillId="33" borderId="39" xfId="0">
      <alignment horizontal="left" vertical="bottom"/>
    </xf>
    <xf numFmtId="197" fontId="33" fillId="0" borderId="40" xfId="0">
      <alignment horizontal="left" vertical="bottom"/>
    </xf>
    <xf numFmtId="0" fontId="31" fillId="33" borderId="1" xfId="0"/>
    <xf numFmtId="0" fontId="1" fillId="0" borderId="1" xfId="0">
      <alignment horizontal="left" vertical="bottom"/>
    </xf>
    <xf numFmtId="0" fontId="0" fillId="33" borderId="1" xfId="0"/>
    <xf numFmtId="0" fontId="34" fillId="33" borderId="0" xfId="0"/>
    <xf numFmtId="0" fontId="1" fillId="33" borderId="1" xfId="0">
      <alignment horizontal="left" vertical="bottom"/>
    </xf>
    <xf numFmtId="0" fontId="1" fillId="33" borderId="1" xfId="0"/>
    <xf numFmtId="0" fontId="0" fillId="34" borderId="0" xfId="0"/>
    <xf numFmtId="0" fontId="1" fillId="34" borderId="1" xfId="0">
      <alignment horizontal="left" vertical="bottom"/>
    </xf>
    <xf numFmtId="0" fontId="18" fillId="0" borderId="0" xfId="0"/>
    <xf numFmtId="0" fontId="1" fillId="0" borderId="0" xfId="0">
      <alignment horizontal="center" vertical="bottom"/>
    </xf>
    <xf numFmtId="0" fontId="0" fillId="0" borderId="0" xfId="0"/>
    <xf numFmtId="0" fontId="1" fillId="0" borderId="41" xfId="0">
      <alignment horizontal="left" vertical="bottom"/>
    </xf>
    <xf numFmtId="200" fontId="35" fillId="0" borderId="0" xfId="0">
      <alignment horizontal="center" vertical="top"/>
    </xf>
    <xf numFmtId="0" fontId="36" fillId="0" borderId="42" xfId="0" quotePrefix="0">
      <alignment vertical="bottom" textRotation="NaN"/>
    </xf>
    <xf numFmtId="0" fontId="1" fillId="0" borderId="41" xfId="0"/>
    <xf numFmtId="0" fontId="37" fillId="0" borderId="43" xfId="0"/>
    <xf numFmtId="176" fontId="37" fillId="0" borderId="43" xfId="0">
      <alignment horizontal="right" vertical="bottom" indent="3"/>
    </xf>
    <xf numFmtId="0" fontId="1" fillId="0" borderId="1" xfId="0"/>
    <xf numFmtId="0" fontId="38" fillId="0" borderId="0" xfId="0"/>
    <xf numFmtId="0" fontId="39" fillId="0" borderId="0" xfId="0"/>
    <xf numFmtId="0" fontId="37" fillId="0" borderId="1" xfId="0"/>
    <xf numFmtId="176" fontId="37" fillId="0" borderId="1" xfId="0">
      <alignment horizontal="right" vertical="bottom" indent="3"/>
    </xf>
    <xf numFmtId="0" fontId="40" fillId="0" borderId="0" xfId="0">
      <alignment vertical="center"/>
    </xf>
    <xf numFmtId="0" fontId="40" fillId="0" borderId="0" xfId="0">
      <alignment horizontal="center" vertical="center"/>
    </xf>
    <xf numFmtId="0" fontId="41" fillId="35" borderId="44" xfId="0">
      <alignment horizontal="left" vertical="center"/>
    </xf>
    <xf numFmtId="0" fontId="41" fillId="35" borderId="45" xfId="0">
      <alignment horizontal="left" vertical="center"/>
    </xf>
    <xf numFmtId="0" fontId="41" fillId="35" borderId="46" xfId="0">
      <alignment horizontal="left" vertical="center"/>
    </xf>
    <xf numFmtId="0" fontId="41" fillId="35" borderId="47" xfId="0">
      <alignment horizontal="left" vertical="center"/>
    </xf>
    <xf numFmtId="0" fontId="41" fillId="35" borderId="48" xfId="0">
      <alignment horizontal="left" vertical="center"/>
    </xf>
    <xf numFmtId="0" fontId="41" fillId="35" borderId="49" xfId="0">
      <alignment horizontal="left" vertical="center"/>
    </xf>
    <xf numFmtId="0" fontId="34" fillId="0" borderId="0" xfId="0">
      <alignment horizontal="left" vertical="top"/>
    </xf>
    <xf numFmtId="284" fontId="42" fillId="0" borderId="1" xfId="0">
      <alignment horizontal="right" vertical="center"/>
    </xf>
    <xf numFmtId="285" fontId="43" fillId="0" borderId="1" xfId="0">
      <alignment horizontal="left" vertical="center"/>
    </xf>
    <xf numFmtId="285" fontId="44" fillId="36" borderId="50" xfId="0">
      <alignment horizontal="center" vertical="top"/>
    </xf>
    <xf numFmtId="285" fontId="44" fillId="36" borderId="51" xfId="0">
      <alignment horizontal="center" vertical="top"/>
    </xf>
    <xf numFmtId="0" fontId="45" fillId="0" borderId="1" xfId="0">
      <alignment horizontal="left" vertical="center"/>
    </xf>
    <xf numFmtId="285" fontId="44" fillId="36" borderId="52" xfId="0">
      <alignment horizontal="center" vertical="top"/>
    </xf>
    <xf numFmtId="285" fontId="44" fillId="36" borderId="53" xfId="0">
      <alignment horizontal="center" vertical="top"/>
    </xf>
    <xf numFmtId="284" fontId="46" fillId="0" borderId="1" xfId="0">
      <alignment horizontal="right" vertical="center"/>
    </xf>
    <xf numFmtId="0" fontId="41" fillId="36" borderId="54" xfId="0">
      <alignment horizontal="center" vertical="bottom"/>
    </xf>
    <xf numFmtId="0" fontId="41" fillId="36" borderId="55" xfId="0">
      <alignment horizontal="center" vertical="bottom"/>
    </xf>
    <xf numFmtId="0" fontId="47" fillId="0" borderId="1" xfId="0">
      <alignment horizontal="left" vertical="center"/>
    </xf>
    <xf numFmtId="284" fontId="48" fillId="0" borderId="1" xfId="0">
      <alignment horizontal="right" vertical="center"/>
    </xf>
    <xf numFmtId="285" fontId="49" fillId="0" borderId="1" xfId="0">
      <alignment horizontal="left" vertical="center"/>
    </xf>
    <xf numFmtId="285" fontId="44" fillId="37" borderId="56" xfId="0">
      <alignment horizontal="center" vertical="top"/>
    </xf>
    <xf numFmtId="285" fontId="44" fillId="37" borderId="57" xfId="0">
      <alignment horizontal="center" vertical="top"/>
    </xf>
    <xf numFmtId="0" fontId="50" fillId="0" borderId="1" xfId="0">
      <alignment horizontal="left" vertical="center"/>
    </xf>
    <xf numFmtId="285" fontId="51" fillId="37" borderId="58" xfId="0"/>
    <xf numFmtId="285" fontId="51" fillId="37" borderId="59" xfId="0"/>
    <xf numFmtId="284" fontId="52" fillId="0" borderId="1" xfId="0">
      <alignment horizontal="right" vertical="center"/>
    </xf>
    <xf numFmtId="0" fontId="53" fillId="0" borderId="1" xfId="0">
      <alignment horizontal="left" vertical="center"/>
    </xf>
    <xf numFmtId="285" fontId="54" fillId="37" borderId="58" xfId="0"/>
    <xf numFmtId="285" fontId="54" fillId="37" borderId="59" xfId="0"/>
    <xf numFmtId="284" fontId="55" fillId="0" borderId="1" xfId="0">
      <alignment horizontal="right" vertical="center"/>
    </xf>
    <xf numFmtId="0" fontId="41" fillId="37" borderId="60" xfId="0">
      <alignment horizontal="center" vertical="bottom"/>
    </xf>
    <xf numFmtId="0" fontId="41" fillId="37" borderId="61" xfId="0">
      <alignment horizontal="center" vertical="bottom"/>
    </xf>
    <xf numFmtId="0" fontId="56" fillId="0" borderId="1" xfId="0">
      <alignment horizontal="left" vertical="center"/>
    </xf>
    <xf numFmtId="0" fontId="37" fillId="0" borderId="62" xfId="0"/>
    <xf numFmtId="176" fontId="37" fillId="0" borderId="62" xfId="0">
      <alignment horizontal="right" vertical="bottom" indent="3"/>
    </xf>
    <xf numFmtId="175" fontId="57" fillId="0" borderId="63" xfId="0"/>
    <xf numFmtId="176" fontId="57" fillId="0" borderId="63" xfId="0">
      <alignment horizontal="right" vertical="bottom" indent="3"/>
    </xf>
    <xf numFmtId="285" fontId="57" fillId="0" borderId="63" xfId="0">
      <alignment horizontal="right" vertical="bottom" indent="3"/>
    </xf>
    <xf numFmtId="284" fontId="58" fillId="0" borderId="1" xfId="0">
      <alignment horizontal="right" vertical="center"/>
    </xf>
    <xf numFmtId="0" fontId="59" fillId="0" borderId="1" xfId="0">
      <alignment horizontal="left" vertical="center"/>
    </xf>
    <xf numFmtId="0" fontId="60" fillId="0" borderId="64" xfId="0" quotePrefix="0">
      <alignment vertical="bottom" textRotation="NaN"/>
    </xf>
    <xf numFmtId="175" fontId="61" fillId="0" borderId="63" xfId="0"/>
    <xf numFmtId="0" fontId="62" fillId="4" borderId="43" xfId="0"/>
    <xf numFmtId="0" fontId="62" fillId="0" borderId="1" xfId="0"/>
    <xf numFmtId="0" fontId="62" fillId="4" borderId="1" xfId="0"/>
    <xf numFmtId="0" fontId="62" fillId="4" borderId="62" xfId="0"/>
    <xf numFmtId="176" fontId="61" fillId="0" borderId="63" xfId="0">
      <alignment horizontal="right" vertical="bottom" indent="3"/>
    </xf>
    <xf numFmtId="176" fontId="62" fillId="4" borderId="43" xfId="0">
      <alignment horizontal="right" vertical="bottom" indent="3"/>
    </xf>
    <xf numFmtId="176" fontId="62" fillId="0" borderId="1" xfId="0">
      <alignment horizontal="right" vertical="bottom" indent="3"/>
    </xf>
    <xf numFmtId="176" fontId="62" fillId="4" borderId="1" xfId="0">
      <alignment horizontal="right" vertical="bottom" indent="3"/>
    </xf>
    <xf numFmtId="176" fontId="62" fillId="4" borderId="62" xfId="0">
      <alignment horizontal="right" vertical="bottom" indent="3"/>
    </xf>
    <xf numFmtId="285" fontId="61" fillId="0" borderId="63" xfId="0">
      <alignment horizontal="right" vertical="bottom" indent="3"/>
    </xf>
    <xf numFmtId="0" fontId="24" fillId="0" borderId="33" xfId="48">
      <alignment horizontal="center" vertical="center"/>
    </xf>
    <xf numFmtId="14" fontId="0" fillId="0" borderId="0" xfId="0"/>
    <xf numFmtId="0" fontId="63" fillId="0" borderId="1" xfId="0"/>
    <xf numFmtId="175" fontId="63" fillId="0" borderId="1" xfId="0"/>
    <xf numFmtId="14" fontId="1" fillId="0" borderId="1" xfId="0"/>
    <xf numFmtId="14" fontId="63" fillId="0" borderId="1" xfId="0"/>
    <xf numFmtId="175" fontId="1" fillId="0" borderId="1" xfId="0"/>
    <xf numFmtId="0" fontId="64" fillId="0" borderId="65" xfId="0"/>
    <xf numFmtId="0" fontId="65" fillId="6" borderId="66" xfId="0"/>
    <xf numFmtId="0" fontId="65" fillId="6" borderId="67" xfId="0"/>
    <xf numFmtId="0" fontId="65" fillId="0" borderId="66" xfId="0"/>
    <xf numFmtId="0" fontId="65" fillId="0" borderId="67" xfId="0"/>
    <xf numFmtId="14" fontId="65" fillId="6" borderId="66" xfId="0"/>
    <xf numFmtId="14" fontId="65" fillId="6" borderId="67" xfId="0"/>
    <xf numFmtId="0" fontId="64" fillId="0" borderId="68" xfId="0"/>
    <xf numFmtId="14" fontId="65" fillId="0" borderId="66" xfId="0"/>
    <xf numFmtId="14" fontId="65" fillId="0" borderId="67" xfId="0"/>
    <xf numFmtId="175" fontId="66" fillId="0" borderId="69" xfId="0"/>
    <xf numFmtId="175" fontId="63" fillId="6" borderId="1" xfId="0"/>
    <xf numFmtId="175" fontId="63" fillId="6" borderId="70" xfId="0"/>
    <xf numFmtId="175" fontId="63" fillId="0" borderId="70" xfId="0"/>
    <xf numFmtId="0" fontId="24" fillId="38" borderId="71" xfId="48">
      <alignment horizontal="center" vertical="center"/>
    </xf>
    <xf numFmtId="0" fontId="24" fillId="0" borderId="71" xfId="48">
      <alignment vertical="center"/>
    </xf>
    <xf numFmtId="0" fontId="22" fillId="0" borderId="72" xfId="0">
      <alignment vertical="top"/>
    </xf>
    <xf numFmtId="0" fontId="67" fillId="0" borderId="72" xfId="0">
      <alignment vertical="top"/>
    </xf>
    <xf numFmtId="0" fontId="24" fillId="38" borderId="71" xfId="48">
      <alignment vertical="center"/>
    </xf>
    <xf numFmtId="0" fontId="22" fillId="38" borderId="0" xfId="0">
      <alignment vertical="top"/>
    </xf>
    <xf numFmtId="0" fontId="67" fillId="38" borderId="0" xfId="0">
      <alignment vertical="top"/>
    </xf>
    <xf numFmtId="0" fontId="68" fillId="38" borderId="73" xfId="0">
      <alignment horizontal="left" vertical="center"/>
    </xf>
    <xf numFmtId="0" fontId="68" fillId="38" borderId="0" xfId="0">
      <alignment vertical="top"/>
    </xf>
    <xf numFmtId="0" fontId="68" fillId="39" borderId="0" xfId="0">
      <alignment horizontal="center" vertical="center"/>
    </xf>
    <xf numFmtId="0" fontId="68" fillId="40" borderId="0" xfId="0">
      <alignment horizontal="center" vertical="center"/>
    </xf>
    <xf numFmtId="0" fontId="68" fillId="41" borderId="0" xfId="0">
      <alignment horizontal="center" vertical="center"/>
    </xf>
    <xf numFmtId="0" fontId="68" fillId="34" borderId="0" xfId="0">
      <alignment horizontal="center" vertical="center"/>
    </xf>
    <xf numFmtId="0" fontId="68" fillId="0" borderId="0" xfId="0">
      <alignment vertical="top"/>
    </xf>
    <xf numFmtId="0" fontId="68" fillId="42" borderId="0" xfId="0">
      <alignment horizontal="center" vertical="center"/>
    </xf>
    <xf numFmtId="0" fontId="68" fillId="43" borderId="0" xfId="0">
      <alignment horizontal="center" vertical="center"/>
    </xf>
    <xf numFmtId="0" fontId="68" fillId="44" borderId="0" xfId="0">
      <alignment horizontal="center" vertical="center"/>
    </xf>
    <xf numFmtId="0" fontId="68" fillId="45" borderId="0" xfId="0">
      <alignment horizontal="center" vertical="center"/>
    </xf>
    <xf numFmtId="0" fontId="68" fillId="46" borderId="0" xfId="0">
      <alignment horizontal="center" vertical="center"/>
    </xf>
    <xf numFmtId="0" fontId="69" fillId="38" borderId="0" xfId="0">
      <alignment horizontal="left" vertical="center"/>
    </xf>
    <xf numFmtId="0" fontId="70" fillId="38" borderId="0" xfId="0">
      <alignment horizontal="left" vertical="center"/>
    </xf>
    <xf numFmtId="0" fontId="68" fillId="38" borderId="0" xfId="0">
      <alignment vertical="top"/>
    </xf>
    <xf numFmtId="0" fontId="70" fillId="0" borderId="0" xfId="0">
      <alignment horizontal="center" vertical="center"/>
    </xf>
    <xf numFmtId="0" fontId="68" fillId="47" borderId="0" xfId="0">
      <alignment horizontal="center" vertical="center"/>
    </xf>
    <xf numFmtId="0" fontId="68" fillId="48" borderId="0" xfId="0">
      <alignment horizontal="center" vertical="center"/>
    </xf>
    <xf numFmtId="0" fontId="68" fillId="49" borderId="0" xfId="0">
      <alignment horizontal="center" vertical="center"/>
    </xf>
    <xf numFmtId="0" fontId="68" fillId="50" borderId="0" xfId="0">
      <alignment horizontal="center" vertical="center"/>
    </xf>
    <xf numFmtId="0" fontId="68" fillId="51" borderId="0" xfId="0">
      <alignment horizontal="center" vertical="center"/>
    </xf>
    <xf numFmtId="0" fontId="68" fillId="52" borderId="0" xfId="0">
      <alignment horizontal="center" vertical="center"/>
    </xf>
    <xf numFmtId="0" fontId="68" fillId="53" borderId="0" xfId="0">
      <alignment horizontal="center" vertical="center"/>
    </xf>
    <xf numFmtId="0" fontId="68" fillId="54" borderId="0" xfId="0">
      <alignment horizontal="center" vertical="center"/>
    </xf>
    <xf numFmtId="0" fontId="71" fillId="55" borderId="0" xfId="0">
      <alignment horizontal="center" vertical="center"/>
    </xf>
    <xf numFmtId="0" fontId="72" fillId="38" borderId="0" xfId="0">
      <alignment horizontal="left" vertical="center"/>
    </xf>
    <xf numFmtId="0" fontId="70" fillId="38" borderId="0" xfId="0">
      <alignment horizontal="center" vertical="center"/>
    </xf>
    <xf numFmtId="0" fontId="73" fillId="38" borderId="0" xfId="0">
      <alignment horizontal="left" vertical="center"/>
    </xf>
    <xf numFmtId="0" fontId="70" fillId="38" borderId="0" xfId="0">
      <alignment horizontal="center" vertical="center"/>
    </xf>
    <xf numFmtId="0" fontId="74" fillId="38" borderId="0" xfId="0">
      <alignment horizontal="left" vertical="center"/>
    </xf>
    <xf numFmtId="0" fontId="70" fillId="38" borderId="0" xfId="0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5" fillId="38" borderId="0" xfId="0">
      <alignment vertical="center"/>
    </xf>
    <xf numFmtId="0" fontId="68" fillId="38" borderId="0" xfId="0">
      <alignment vertical="top"/>
    </xf>
    <xf numFmtId="0" fontId="68" fillId="38" borderId="0" xfId="0">
      <alignment horizontal="center" vertical="center"/>
    </xf>
    <xf numFmtId="0" fontId="68" fillId="38" borderId="74" xfId="0">
      <alignment horizontal="center" vertical="center"/>
    </xf>
    <xf numFmtId="0" fontId="68" fillId="38" borderId="75" xfId="0">
      <alignment horizontal="center" vertical="center"/>
    </xf>
    <xf numFmtId="0" fontId="68" fillId="38" borderId="76" xfId="0">
      <alignment horizontal="center" vertical="center"/>
    </xf>
    <xf numFmtId="0" fontId="70" fillId="38" borderId="77" xfId="0">
      <alignment horizontal="left" vertical="center"/>
    </xf>
    <xf numFmtId="0" fontId="68" fillId="38" borderId="78" xfId="0">
      <alignment horizontal="center" vertical="center"/>
    </xf>
    <xf numFmtId="0" fontId="68" fillId="38" borderId="79" xfId="0">
      <alignment horizontal="center" vertical="center"/>
    </xf>
    <xf numFmtId="0" fontId="68" fillId="38" borderId="80" xfId="0">
      <alignment horizontal="center" vertical="center"/>
    </xf>
    <xf numFmtId="0" fontId="68" fillId="38" borderId="81" xfId="0">
      <alignment horizontal="center" vertical="center"/>
    </xf>
    <xf numFmtId="0" fontId="68" fillId="38" borderId="82" xfId="0">
      <alignment horizontal="center" vertical="center"/>
    </xf>
    <xf numFmtId="0" fontId="70" fillId="38" borderId="77" xfId="0">
      <alignment horizontal="center" vertical="center"/>
    </xf>
    <xf numFmtId="0" fontId="68" fillId="38" borderId="83" xfId="0">
      <alignment horizontal="center" vertical="center"/>
    </xf>
    <xf numFmtId="0" fontId="68" fillId="38" borderId="84" xfId="0">
      <alignment horizontal="center" vertical="center"/>
    </xf>
    <xf numFmtId="0" fontId="68" fillId="38" borderId="85" xfId="0">
      <alignment horizontal="center" vertical="center"/>
    </xf>
    <xf numFmtId="0" fontId="68" fillId="38" borderId="86" xfId="0">
      <alignment horizontal="center" vertical="center"/>
    </xf>
    <xf numFmtId="0" fontId="68" fillId="38" borderId="87" xfId="0">
      <alignment horizontal="center" vertical="center"/>
    </xf>
    <xf numFmtId="0" fontId="70" fillId="38" borderId="77" xfId="0">
      <alignment horizontal="right" vertical="center"/>
    </xf>
    <xf numFmtId="0" fontId="68" fillId="38" borderId="88" xfId="0">
      <alignment horizontal="center" vertical="center"/>
    </xf>
    <xf numFmtId="0" fontId="68" fillId="38" borderId="89" xfId="0">
      <alignment horizontal="center" vertical="center"/>
    </xf>
    <xf numFmtId="0" fontId="68" fillId="38" borderId="90" xfId="0">
      <alignment horizontal="center" vertical="center"/>
    </xf>
    <xf numFmtId="0" fontId="68" fillId="38" borderId="91" xfId="0">
      <alignment horizontal="center" vertical="center"/>
    </xf>
    <xf numFmtId="0" fontId="68" fillId="38" borderId="92" xfId="0">
      <alignment horizontal="center" vertical="center"/>
    </xf>
    <xf numFmtId="0" fontId="68" fillId="38" borderId="0" xfId="0">
      <alignment horizontal="left" vertical="top"/>
    </xf>
    <xf numFmtId="0" fontId="68" fillId="38" borderId="93" xfId="0">
      <alignment horizontal="center" vertical="center"/>
    </xf>
    <xf numFmtId="0" fontId="68" fillId="38" borderId="94" xfId="0">
      <alignment horizontal="center" vertical="center"/>
    </xf>
    <xf numFmtId="0" fontId="68" fillId="38" borderId="95" xfId="0">
      <alignment horizontal="center" vertical="center"/>
    </xf>
    <xf numFmtId="0" fontId="76" fillId="38" borderId="77" xfId="0">
      <alignment horizontal="center" vertical="top"/>
    </xf>
    <xf numFmtId="0" fontId="76" fillId="38" borderId="77" xfId="0">
      <alignment horizontal="center" vertical="center"/>
    </xf>
    <xf numFmtId="0" fontId="76" fillId="38" borderId="77" xfId="0">
      <alignment horizontal="center" vertical="bottom"/>
    </xf>
    <xf numFmtId="0" fontId="68" fillId="38" borderId="96" xfId="0">
      <alignment horizontal="center" vertical="center"/>
    </xf>
    <xf numFmtId="0" fontId="68" fillId="38" borderId="97" xfId="0">
      <alignment horizontal="center" vertical="center"/>
    </xf>
    <xf numFmtId="0" fontId="68" fillId="38" borderId="98" xfId="0">
      <alignment horizontal="center" vertical="center"/>
    </xf>
    <xf numFmtId="0" fontId="68" fillId="38" borderId="99" xfId="0">
      <alignment horizontal="center" vertical="center"/>
    </xf>
    <xf numFmtId="0" fontId="68" fillId="38" borderId="100" xfId="0">
      <alignment horizontal="center" vertical="center"/>
    </xf>
    <xf numFmtId="0" fontId="68" fillId="38" borderId="101" xfId="0">
      <alignment horizontal="center" vertical="center"/>
    </xf>
    <xf numFmtId="0" fontId="68" fillId="38" borderId="0" xfId="0">
      <alignment vertical="top"/>
    </xf>
    <xf numFmtId="0" fontId="68" fillId="0" borderId="73" xfId="0">
      <alignment horizontal="left" vertical="center"/>
    </xf>
    <xf numFmtId="0" fontId="68" fillId="50" borderId="102" xfId="0">
      <alignment horizontal="right" vertical="center"/>
    </xf>
    <xf numFmtId="0" fontId="70" fillId="51" borderId="77" xfId="0">
      <alignment horizontal="center" vertical="center"/>
    </xf>
    <xf numFmtId="0" fontId="70" fillId="34" borderId="77" xfId="0">
      <alignment horizontal="center" vertical="center"/>
    </xf>
    <xf numFmtId="0" fontId="77" fillId="38" borderId="103" xfId="0">
      <alignment horizontal="left" vertical="top" wrapText="1"/>
    </xf>
    <xf numFmtId="0" fontId="68" fillId="38" borderId="103" xfId="0">
      <alignment horizontal="left" vertical="center"/>
    </xf>
    <xf numFmtId="0" fontId="68" fillId="38" borderId="103" xfId="0">
      <alignment vertical="top"/>
    </xf>
    <xf numFmtId="285" fontId="70" fillId="51" borderId="77" xfId="0">
      <alignment horizontal="center" vertical="center"/>
    </xf>
    <xf numFmtId="0" fontId="77" fillId="38" borderId="103" xfId="0">
      <alignment horizontal="left" vertical="center"/>
    </xf>
    <xf numFmtId="0" fontId="68" fillId="49" borderId="102" xfId="0">
      <alignment horizontal="right" vertical="center"/>
    </xf>
    <xf numFmtId="0" fontId="78" fillId="38" borderId="104" xfId="0">
      <alignment horizontal="center" vertical="center" wrapText="1"/>
    </xf>
    <xf numFmtId="9" fontId="70" fillId="51" borderId="77" xfId="0">
      <alignment horizontal="center" vertical="center"/>
    </xf>
    <xf numFmtId="0" fontId="79" fillId="38" borderId="0" xfId="0">
      <alignment horizontal="center" vertical="center" wrapText="1"/>
    </xf>
    <xf numFmtId="0" fontId="68" fillId="48" borderId="102" xfId="0">
      <alignment horizontal="right" vertical="center"/>
    </xf>
    <xf numFmtId="12" fontId="70" fillId="51" borderId="77" xfId="0">
      <alignment horizontal="center" vertical="center"/>
    </xf>
    <xf numFmtId="0" fontId="77" fillId="38" borderId="103" xfId="0">
      <alignment horizontal="left" vertical="center" wrapText="1"/>
    </xf>
    <xf numFmtId="1885" fontId="70" fillId="51" borderId="77" xfId="0">
      <alignment horizontal="center" vertical="center"/>
    </xf>
    <xf numFmtId="14" fontId="70" fillId="34" borderId="77" xfId="0">
      <alignment horizontal="center" vertical="center"/>
    </xf>
    <xf numFmtId="0" fontId="68" fillId="38" borderId="0" xfId="0">
      <alignment horizontal="left" vertical="center" wrapText="1"/>
    </xf>
    <xf numFmtId="0" fontId="68" fillId="47" borderId="102" xfId="0">
      <alignment horizontal="right" vertical="center"/>
    </xf>
    <xf numFmtId="197" fontId="70" fillId="51" borderId="77" xfId="0">
      <alignment horizontal="center" vertical="center"/>
    </xf>
    <xf numFmtId="0" fontId="80" fillId="38" borderId="0" xfId="0">
      <alignment horizontal="center" vertical="center" wrapText="1"/>
    </xf>
    <xf numFmtId="0" fontId="67" fillId="0" borderId="0" xfId="0">
      <alignment vertical="top"/>
    </xf>
    <xf numFmtId="0" fontId="24" fillId="0" borderId="71" xfId="48">
      <alignment horizontal="center" vertical="center"/>
    </xf>
    <xf numFmtId="0" fontId="68" fillId="38" borderId="73" xfId="0">
      <alignment vertical="top"/>
    </xf>
    <xf numFmtId="0" fontId="81" fillId="38" borderId="73" xfId="0">
      <alignment horizontal="right" vertical="center"/>
    </xf>
    <xf numFmtId="0" fontId="70" fillId="42" borderId="77" xfId="0">
      <alignment horizontal="center" vertical="center"/>
    </xf>
    <xf numFmtId="0" fontId="68" fillId="0" borderId="0" xfId="0">
      <alignment horizontal="center" vertical="center"/>
    </xf>
    <xf numFmtId="0" fontId="82" fillId="42" borderId="105" xfId="0">
      <alignment horizontal="center" vertical="center" wrapText="1"/>
    </xf>
    <xf numFmtId="0" fontId="83" fillId="0" borderId="106" xfId="0">
      <alignment horizontal="center" vertical="center"/>
    </xf>
    <xf numFmtId="1897" fontId="83" fillId="0" borderId="106" xfId="0">
      <alignment horizontal="center" vertical="center"/>
    </xf>
    <xf numFmtId="0" fontId="70" fillId="0" borderId="77" xfId="0">
      <alignment horizontal="center" vertical="center"/>
    </xf>
    <xf numFmtId="0" fontId="83" fillId="0" borderId="106" xfId="0">
      <alignment horizontal="center" vertical="center"/>
    </xf>
    <xf numFmtId="1897" fontId="70" fillId="0" borderId="77" xfId="0">
      <alignment horizontal="center" vertical="center"/>
    </xf>
    <xf numFmtId="0" fontId="82" fillId="42" borderId="107" xfId="0">
      <alignment horizontal="center" vertical="center" wrapText="1"/>
    </xf>
    <xf numFmtId="0" fontId="83" fillId="0" borderId="108" xfId="0">
      <alignment horizontal="center" vertical="center"/>
    </xf>
    <xf numFmtId="1897" fontId="83" fillId="0" borderId="108" xfId="0">
      <alignment horizontal="center" vertical="center"/>
    </xf>
    <xf numFmtId="0" fontId="82" fillId="42" borderId="109" xfId="0">
      <alignment horizontal="center" vertical="center" wrapText="1"/>
    </xf>
    <xf numFmtId="0" fontId="83" fillId="0" borderId="110" xfId="0">
      <alignment horizontal="center" vertical="center"/>
    </xf>
    <xf numFmtId="0" fontId="82" fillId="42" borderId="111" xfId="0">
      <alignment horizontal="center" vertical="center" wrapText="1"/>
    </xf>
    <xf numFmtId="0" fontId="83" fillId="0" borderId="112" xfId="0">
      <alignment horizontal="center" vertical="center"/>
    </xf>
    <xf numFmtId="0" fontId="82" fillId="42" borderId="113" xfId="0">
      <alignment horizontal="center" vertical="center" wrapText="1"/>
    </xf>
    <xf numFmtId="1897" fontId="83" fillId="0" borderId="114" xfId="0">
      <alignment horizontal="center" vertical="center"/>
    </xf>
    <xf numFmtId="0" fontId="82" fillId="42" borderId="115" xfId="0">
      <alignment horizontal="center" vertical="center" wrapText="1"/>
    </xf>
    <xf numFmtId="0" fontId="83" fillId="0" borderId="116" xfId="0">
      <alignment horizontal="center" vertical="center"/>
    </xf>
    <xf numFmtId="0" fontId="82" fillId="42" borderId="117" xfId="0">
      <alignment horizontal="center" vertical="center" wrapText="1"/>
    </xf>
    <xf numFmtId="1897" fontId="83" fillId="0" borderId="118" xfId="0">
      <alignment horizontal="center" vertical="center"/>
    </xf>
    <xf numFmtId="0" fontId="70" fillId="42" borderId="105" xfId="0">
      <alignment horizontal="left" vertical="center"/>
    </xf>
    <xf numFmtId="0" fontId="70" fillId="42" borderId="119" xfId="0">
      <alignment horizontal="left" vertical="center"/>
    </xf>
    <xf numFmtId="0" fontId="70" fillId="42" borderId="120" xfId="0">
      <alignment horizontal="center" vertical="center"/>
    </xf>
    <xf numFmtId="0" fontId="70" fillId="42" borderId="121" xfId="0">
      <alignment horizontal="center" vertical="center"/>
    </xf>
    <xf numFmtId="0" fontId="82" fillId="38" borderId="107" xfId="0">
      <alignment horizontal="left" vertical="center"/>
    </xf>
    <xf numFmtId="0" fontId="83" fillId="38" borderId="108" xfId="0">
      <alignment horizontal="center" vertical="center"/>
    </xf>
    <xf numFmtId="1897" fontId="70" fillId="42" borderId="77" xfId="0">
      <alignment horizontal="center" vertical="center"/>
    </xf>
    <xf numFmtId="0" fontId="82" fillId="42" borderId="122" xfId="0">
      <alignment horizontal="center" vertical="center"/>
    </xf>
    <xf numFmtId="0" fontId="82" fillId="42" borderId="123" xfId="0">
      <alignment horizontal="center" vertical="center"/>
    </xf>
    <xf numFmtId="0" fontId="70" fillId="42" borderId="124" xfId="0">
      <alignment horizontal="center" vertical="center"/>
    </xf>
    <xf numFmtId="0" fontId="70" fillId="42" borderId="125" xfId="0">
      <alignment horizontal="center" vertical="center"/>
    </xf>
    <xf numFmtId="0" fontId="82" fillId="38" borderId="115" xfId="0">
      <alignment horizontal="left" vertical="center"/>
    </xf>
    <xf numFmtId="0" fontId="83" fillId="38" borderId="116" xfId="0">
      <alignment horizontal="center" vertical="center"/>
    </xf>
    <xf numFmtId="1911" fontId="77" fillId="0" borderId="126" xfId="0">
      <alignment vertical="center"/>
    </xf>
    <xf numFmtId="0" fontId="83" fillId="0" borderId="127" xfId="0">
      <alignment horizontal="left" vertical="center"/>
    </xf>
    <xf numFmtId="0" fontId="68" fillId="38" borderId="0" xfId="0">
      <alignment vertical="center"/>
    </xf>
    <xf numFmtId="0" fontId="24" fillId="33" borderId="71" xfId="48">
      <alignment horizontal="center" vertical="center"/>
    </xf>
    <xf numFmtId="0" fontId="24" fillId="33" borderId="71" xfId="48">
      <alignment vertical="center"/>
    </xf>
    <xf numFmtId="0" fontId="68" fillId="38" borderId="73" xfId="0">
      <alignment horizontal="left" vertical="center"/>
    </xf>
    <xf numFmtId="0" fontId="70" fillId="38" borderId="128" xfId="0">
      <alignment horizontal="left" vertical="top" wrapText="1"/>
    </xf>
    <xf numFmtId="0" fontId="84" fillId="56" borderId="77" xfId="0">
      <alignment horizontal="center" vertical="center"/>
    </xf>
    <xf numFmtId="1897" fontId="85" fillId="56" borderId="77" xfId="0">
      <alignment horizontal="right" vertical="center"/>
    </xf>
    <xf numFmtId="1897" fontId="85" fillId="56" borderId="77" xfId="0">
      <alignment horizontal="center" vertical="center"/>
    </xf>
    <xf numFmtId="1897" fontId="84" fillId="56" borderId="77" xfId="0">
      <alignment horizontal="center" vertical="center"/>
    </xf>
    <xf numFmtId="0" fontId="86" fillId="51" borderId="77" xfId="0">
      <alignment horizontal="center" vertical="center"/>
    </xf>
    <xf numFmtId="0" fontId="68" fillId="38" borderId="73" xfId="0">
      <alignment vertical="center"/>
    </xf>
    <xf numFmtId="0" fontId="68" fillId="38" borderId="73" xfId="0">
      <alignment vertical="center"/>
    </xf>
    <xf numFmtId="0" fontId="70" fillId="34" borderId="77" xfId="0">
      <alignment horizontal="center" vertical="center" wrapText="1"/>
    </xf>
    <xf numFmtId="16" fontId="70" fillId="34" borderId="77" xfId="0">
      <alignment horizontal="center" vertical="center"/>
    </xf>
    <xf numFmtId="0" fontId="86" fillId="50" borderId="77" xfId="0">
      <alignment horizontal="center" vertical="center"/>
    </xf>
    <xf numFmtId="0" fontId="86" fillId="56" borderId="77" xfId="0">
      <alignment horizontal="center" vertical="center"/>
    </xf>
    <xf numFmtId="0" fontId="67" fillId="33" borderId="0" xfId="0">
      <alignment vertical="top"/>
    </xf>
    <xf numFmtId="0" fontId="68" fillId="38" borderId="73" xfId="0">
      <alignment horizontal="left" vertical="top"/>
    </xf>
    <xf numFmtId="0" fontId="87" fillId="38" borderId="73" xfId="0">
      <alignment horizontal="left" vertical="top"/>
    </xf>
    <xf numFmtId="0" fontId="68" fillId="57" borderId="129" xfId="0">
      <alignment vertical="top"/>
    </xf>
    <xf numFmtId="0" fontId="68" fillId="57" borderId="130" xfId="0">
      <alignment vertical="top"/>
    </xf>
    <xf numFmtId="0" fontId="68" fillId="57" borderId="131" xfId="0">
      <alignment vertical="top"/>
    </xf>
    <xf numFmtId="0" fontId="68" fillId="57" borderId="132" xfId="0">
      <alignment vertical="top"/>
    </xf>
    <xf numFmtId="0" fontId="88" fillId="57" borderId="73" xfId="0">
      <alignment horizontal="center" vertical="center"/>
    </xf>
    <xf numFmtId="0" fontId="68" fillId="57" borderId="133" xfId="0">
      <alignment vertical="top"/>
    </xf>
    <xf numFmtId="0" fontId="68" fillId="57" borderId="0" xfId="0">
      <alignment vertical="top"/>
    </xf>
    <xf numFmtId="0" fontId="68" fillId="57" borderId="0" xfId="0">
      <alignment horizontal="left" vertical="center"/>
    </xf>
    <xf numFmtId="0" fontId="68" fillId="57" borderId="0" xfId="0">
      <alignment horizontal="center" vertical="top"/>
    </xf>
    <xf numFmtId="0" fontId="68" fillId="34" borderId="77" xfId="0">
      <alignment horizontal="center" vertical="center"/>
    </xf>
    <xf numFmtId="285" fontId="83" fillId="0" borderId="77" xfId="0">
      <alignment horizontal="center" vertical="center"/>
    </xf>
    <xf numFmtId="0" fontId="77" fillId="57" borderId="0" xfId="0">
      <alignment horizontal="left" vertical="center"/>
    </xf>
    <xf numFmtId="0" fontId="70" fillId="57" borderId="0" xfId="0">
      <alignment vertical="center"/>
    </xf>
    <xf numFmtId="0" fontId="70" fillId="0" borderId="77" xfId="0">
      <alignment vertical="center"/>
    </xf>
    <xf numFmtId="285" fontId="70" fillId="0" borderId="77" xfId="0">
      <alignment vertical="center"/>
    </xf>
    <xf numFmtId="0" fontId="68" fillId="38" borderId="134" xfId="0">
      <alignment vertical="top"/>
    </xf>
    <xf numFmtId="0" fontId="68" fillId="38" borderId="135" xfId="0">
      <alignment vertical="top"/>
    </xf>
    <xf numFmtId="0" fontId="89" fillId="0" borderId="0" xfId="0">
      <alignment horizontal="center" vertical="center"/>
    </xf>
    <xf numFmtId="0" fontId="89" fillId="0" borderId="0" xfId="0">
      <alignment horizontal="center" vertical="center" wrapText="1"/>
    </xf>
    <xf numFmtId="1989" fontId="70" fillId="0" borderId="0" xfId="0">
      <alignment horizontal="center" vertical="center"/>
    </xf>
    <xf numFmtId="0" fontId="70" fillId="0" borderId="0" xfId="0">
      <alignment horizontal="center" vertical="center"/>
    </xf>
    <xf numFmtId="0" fontId="90" fillId="58" borderId="137" xfId="0">
      <alignment horizontal="center" vertical="center"/>
    </xf>
    <xf numFmtId="1989" fontId="91" fillId="13" borderId="139" xfId="0">
      <alignment horizontal="center" vertical="center"/>
    </xf>
    <xf numFmtId="1989" fontId="91" fillId="7" borderId="139" xfId="0">
      <alignment horizontal="center" vertical="center"/>
    </xf>
    <xf numFmtId="1989" fontId="91" fillId="13" borderId="141" xfId="0">
      <alignment horizontal="center" vertical="center"/>
    </xf>
    <xf numFmtId="0" fontId="90" fillId="58" borderId="143" xfId="0">
      <alignment horizontal="center" vertical="center"/>
    </xf>
    <xf numFmtId="0" fontId="91" fillId="13" borderId="144" xfId="0">
      <alignment horizontal="center" vertical="center"/>
    </xf>
    <xf numFmtId="0" fontId="91" fillId="7" borderId="144" xfId="0">
      <alignment horizontal="center" vertical="center"/>
    </xf>
    <xf numFmtId="0" fontId="91" fillId="13" borderId="146" xfId="0">
      <alignment horizontal="center" vertical="center"/>
    </xf>
    <xf numFmtId="0" fontId="90" fillId="58" borderId="148" xfId="0">
      <alignment horizontal="center" vertical="center" wrapText="1"/>
    </xf>
    <xf numFmtId="0" fontId="91" fillId="13" borderId="150" xfId="0">
      <alignment horizontal="center" vertical="center"/>
    </xf>
    <xf numFmtId="0" fontId="91" fillId="7" borderId="150" xfId="0">
      <alignment horizontal="center" vertical="center"/>
    </xf>
    <xf numFmtId="0" fontId="91" fillId="13" borderId="152" xfId="0">
      <alignment horizontal="center" vertical="center"/>
    </xf>
    <xf numFmtId="0" fontId="92" fillId="38" borderId="153" xfId="0">
      <alignment horizontal="left" vertical="center"/>
    </xf>
    <xf numFmtId="0" fontId="93" fillId="59" borderId="154" xfId="0">
      <alignment horizontal="center" vertical="center"/>
    </xf>
    <xf numFmtId="0" fontId="93" fillId="60" borderId="155" xfId="0">
      <alignment horizontal="center" vertical="center"/>
    </xf>
    <xf numFmtId="0" fontId="93" fillId="0" borderId="154" xfId="0">
      <alignment horizontal="center" vertical="center"/>
    </xf>
    <xf numFmtId="0" fontId="93" fillId="59" borderId="156" xfId="0">
      <alignment horizontal="center" vertical="center"/>
    </xf>
    <xf numFmtId="0" fontId="93" fillId="60" borderId="157" xfId="0">
      <alignment horizontal="center" vertical="center"/>
    </xf>
    <xf numFmtId="2022" fontId="94" fillId="60" borderId="155" xfId="0">
      <alignment horizontal="center" vertical="center"/>
    </xf>
    <xf numFmtId="0" fontId="93" fillId="59" borderId="158" xfId="0">
      <alignment horizontal="center" vertical="center"/>
    </xf>
    <xf numFmtId="2022" fontId="94" fillId="60" borderId="159" xfId="0">
      <alignment horizontal="center" vertical="center"/>
    </xf>
    <xf numFmtId="0" fontId="24" fillId="38" borderId="71" xfId="48">
      <alignment horizontal="center" vertical="center"/>
    </xf>
    <xf numFmtId="0" fontId="24" fillId="38" borderId="71" xfId="48">
      <alignment vertical="center"/>
    </xf>
    <xf numFmtId="0" fontId="95" fillId="38" borderId="0" xfId="0">
      <alignment horizontal="center" vertical="center"/>
    </xf>
    <xf numFmtId="0" fontId="95" fillId="38" borderId="0" xfId="0">
      <alignment vertical="top"/>
    </xf>
    <xf numFmtId="0" fontId="96" fillId="38" borderId="0" xfId="0">
      <alignment horizontal="center" vertical="center"/>
    </xf>
    <xf numFmtId="0" fontId="68" fillId="38" borderId="0" xfId="0">
      <alignment vertical="top"/>
    </xf>
  </cellXfs>
  <cellStyles count="49">
    <cellStyle name="Normal" xfId="1"/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40% - Accent1" xfId="8"/>
    <cellStyle name="40% - Accent2" xfId="9"/>
    <cellStyle name="40% - Accent3" xfId="10"/>
    <cellStyle name="40% - Accent4" xfId="11"/>
    <cellStyle name="40% - Accent5" xfId="12"/>
    <cellStyle name="40% - Accent6" xfId="13"/>
    <cellStyle name="60% - Accent1" xfId="14"/>
    <cellStyle name="60% - Accent2" xfId="15"/>
    <cellStyle name="60% - Accent3" xfId="16"/>
    <cellStyle name="60% - Accent4" xfId="17"/>
    <cellStyle name="60% - Accent5" xfId="18"/>
    <cellStyle name="60% - Accent6" xfId="19"/>
    <cellStyle name="Accent1" xfId="20"/>
    <cellStyle name="Accent2" xfId="21"/>
    <cellStyle name="Accent3" xfId="22"/>
    <cellStyle name="Accent4" xfId="23"/>
    <cellStyle name="Accent5" xfId="24"/>
    <cellStyle name="Accent6" xfId="25"/>
    <cellStyle name="Bad" xfId="26"/>
    <cellStyle name="Calculation" xfId="27"/>
    <cellStyle name="Check Cell" xfId="28"/>
    <cellStyle name="Comma" xfId="29"/>
    <cellStyle name="Comma [0]" xfId="30"/>
    <cellStyle name="Currency" xfId="31"/>
    <cellStyle name="Currency [0]" xfId="32"/>
    <cellStyle name="Explanatory Text" xfId="33"/>
    <cellStyle name="Good" xfId="34"/>
    <cellStyle name="Heading 1" xfId="35"/>
    <cellStyle name="Heading 2" xfId="36"/>
    <cellStyle name="Heading 3" xfId="37"/>
    <cellStyle name="Heading 4" xfId="38"/>
    <cellStyle name="Input" xfId="39"/>
    <cellStyle name="Linked Cell" xfId="40"/>
    <cellStyle name="Neutral" xfId="41"/>
    <cellStyle name="Note" xfId="42"/>
    <cellStyle name="Output" xfId="43"/>
    <cellStyle name="Percent" xfId="44"/>
    <cellStyle name="Title" xfId="45"/>
    <cellStyle name="Total" xfId="46"/>
    <cellStyle name="Warning Text" xfId="47"/>
    <cellStyle name="Hyperlink" xfId="48"/>
    <cellStyle name="clear-cellbutton" xfId="49"/>
  </cellStyles>
  <dxfs count="5">
    <dxf>
      <font>
        <b val="0"/>
        <i val="0"/>
        <sz val="11"/>
        <name val="Calibri"/>
      </font>
      <fill>
        <patternFill patternType="solid">
          <fgColor theme="7" tint="0.8"/>
          <bgColor theme="7" tint="0.8"/>
        </patternFill>
      </fill>
    </dxf>
    <dxf>
      <border>
        <top style="thin">
          <color rgb="FF000000"/>
        </top>
      </border>
    </dxf>
    <dxf>
      <font>
        <sz val="13"/>
        <color theme="1" tint="0.35"/>
      </font>
      <border>
        <left/>
        <right/>
        <top/>
        <bottom style="thin">
          <color rgb="FF000000"/>
        </bottom>
      </border>
    </dxf>
    <dxf>
      <fill>
        <patternFill patternType="none"/>
      </fill>
      <border>
        <left/>
        <right/>
        <bottom/>
      </border>
    </dxf>
    <dxf>
      <fill>
        <patternFill patternType="none"/>
      </fill>
      <border>
        <left/>
        <right/>
        <top/>
      </border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Relationship Id="rId13" Type="http://schemas.openxmlformats.org/officeDocument/2006/relationships/theme" Target="theme/theme1.xml"/><Relationship Id="rId14" Type="http://schemas.openxmlformats.org/officeDocument/2006/relationships/sharedStrings" Target="sharedStrings.xml"/><Relationship Id="rId15" Target="worksheets/sheet12.xml" Type="http://schemas.openxmlformats.org/officeDocument/2006/relationships/worksheet"/><Relationship Id="rId16" Type="http://schemas.microsoft.com/office/2022/11/relationships/FeaturePropertyBag" Target="featurePropertyBag/featurePropertyBag.xml"/><Relationship Id="rId17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20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defRPr>
            </a:pPr>
            <a:r>
              <a:rPr sz="1200" b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</a:rPr>
              <a:t>Account Receivable by Aging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doughnutChart chartType="12">
        <c:ser seriesType="3">
          <c:dPt>
            <c:idx val="0"/>
            <c:bubble3D val="0"/>
            <c:invertIfNegative val="0"/>
            <c:spPr>
              <a:solidFill>
                <a:srgbClr val="ff885b"/>
              </a:solidFill>
              <a:ln w="38100">
                <a:solidFill>
                  <a:srgbClr val="ffffff"/>
                </a:solidFill>
              </a:ln>
            </c:spPr>
            <c:marker>
              <c:spPr/>
              <c:size val="5"/>
              <c:symbol val="none"/>
            </c:marker>
          </c:dPt>
          <c:dPt>
            <c:idx val="1"/>
            <c:bubble3D val="0"/>
            <c:invertIfNegative val="0"/>
            <c:spPr>
              <a:solidFill>
                <a:srgbClr val="566fff"/>
              </a:solidFill>
              <a:ln w="38100">
                <a:solidFill>
                  <a:srgbClr val="ffffff"/>
                </a:solidFill>
              </a:ln>
            </c:spPr>
            <c:marker>
              <c:spPr/>
              <c:size val="5"/>
              <c:symbol val="none"/>
            </c:marker>
          </c:dPt>
          <c:dPt>
            <c:idx val="2"/>
            <c:bubble3D val="0"/>
            <c:invertIfNegative val="0"/>
            <c:spPr>
              <a:solidFill>
                <a:srgbClr val="32e3ae"/>
              </a:solidFill>
              <a:ln w="38100">
                <a:solidFill>
                  <a:srgbClr val="ffffff"/>
                </a:solidFill>
              </a:ln>
            </c:spPr>
            <c:marker>
              <c:spPr/>
              <c:size val="5"/>
              <c:symbol val="none"/>
            </c:marker>
          </c:dPt>
          <c:dPt>
            <c:idx val="3"/>
            <c:bubble3D val="0"/>
            <c:invertIfNegative val="0"/>
            <c:spPr>
              <a:solidFill>
                <a:srgbClr val="59c7ff"/>
              </a:solidFill>
              <a:ln w="38100">
                <a:solidFill>
                  <a:srgbClr val="ffffff"/>
                </a:solidFill>
              </a:ln>
            </c:spPr>
            <c:marker>
              <c:spPr/>
              <c:size val="5"/>
              <c:symbol val="none"/>
            </c:marker>
          </c:dPt>
          <c:dPt>
            <c:idx val="4"/>
            <c:bubble3D val="0"/>
            <c:invertIfNegative val="0"/>
            <c:spPr>
              <a:solidFill>
                <a:srgbClr val="9e66ff"/>
              </a:solidFill>
              <a:ln w="38100">
                <a:solidFill>
                  <a:srgbClr val="ffffff"/>
                </a:solidFill>
              </a:ln>
            </c:spPr>
            <c:marker>
              <c:spPr/>
              <c:size val="5"/>
              <c:symbol val="none"/>
            </c:marker>
          </c:dPt>
          <c:idx val="0"/>
          <c:order val="0"/>
          <c:spPr>
            <a:ln w="19050">
              <a:solidFill>
                <a:srgbClr val="ffffff"/>
              </a:solidFill>
            </a:ln>
          </c:spPr>
          <c:cat>
            <c:strRef>
              <c:f>'Aging Report'!$H$11:$L$11</c:f>
            </c:strRef>
          </c:cat>
          <c:val>
            <c:numRef>
              <c:f>'Aging Report'!$H$44:$L$44</c:f>
              <c:numCache>
                <c:formatCode>$#,##0</c:formatCode>
              </c:numCache>
            </c:numRef>
          </c:val>
          <c:dLbls>
            <c:numFmt formatCode="$#,##0.00" sourceLinked="0"/>
            <c:spPr>
              <a:noFill/>
              <a:ln>
                <a:noFill/>
              </a:ln>
            </c:spPr>
            <c:txPr>
              <a:bodyPr/>
              <a:p>
                <a:pPr>
                  <a:defRPr sz="1000" b="0">
                    <a:solidFill>
                      <a:srgbClr val="595959"/>
                    </a:solidFill>
                    <a:latin typeface="Calibri"/>
                  </a:defRPr>
                </a:pPr>
                <a:r>
                  <a:rPr sz="1000" b="0">
                    <a:solidFill>
                      <a:srgbClr val="595959"/>
                    </a:solidFill>
                    <a:latin typeface="Calibri"/>
                  </a:rPr>
                  <a:t/>
                </a:r>
                <a:endParaRPr/>
              </a:p>
            </c:txPr>
            <c:showLeaderLines val="0"/>
            <c:showBubbleSize val="0"/>
            <c:showLegendKey val="0"/>
            <c:showPercent val="0"/>
            <c:showCatName val="0"/>
            <c:showSerName val="0"/>
            <c:showVal val="0"/>
            <c:separator>, </c:separator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xtLst/>
          <c:explosion val="0"/>
        </c:ser>
        <c:varyColors val="1"/>
        <c:firstSliceAng val="0"/>
        <c:holeSize val="59"/>
      </c:doughnutChart>
      <c:spPr>
        <a:noFill/>
        <a:ln>
          <a:noFill/>
        </a:ln>
      </c:spPr>
    </c:plotArea>
    <c:plotVisOnly val="1"/>
    <c:dispBlanksAs val="gap"/>
    <c:showDLblsOverMax val="1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noFill/>
      <a:prstDash val="solid"/>
    </a:ln>
  </c:spPr>
  <c:txPr>
    <a:bodyPr/>
    <a:p>
      <a:pPr>
        <a:defRPr sz="1000" b="0">
          <a:solidFill>
            <a:schemeClr val="tx1">
              <a:lumMod val="65000"/>
              <a:lumOff val="35000"/>
            </a:schemeClr>
          </a:solidFill>
          <a:latin typeface="Calibri"/>
        </a:defRPr>
      </a:pPr>
      <a:endParaRPr/>
    </a:p>
  </c:txPr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>Transportation Facilities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barChart chartType="6">
        <c:ser seriesType="0">
          <c:idx val="0"/>
          <c:order val="0"/>
          <c:tx>
            <c:strRef>
              <c:f>Chart!$B$4</c:f>
            </c:strRef>
          </c:tx>
          <c:spPr>
            <a:solidFill>
              <a:schemeClr val="accent1"/>
            </a:solidFill>
            <a:ln w="0">
              <a:noFill/>
              <a:prstDash val="solid"/>
            </a:ln>
          </c:spPr>
          <c:cat>
            <c:numRef>
              <c:f>Chart!$C$3:$I$3</c:f>
              <c:numCache>
                <c:formatCode>General</c:formatCode>
              </c:numCache>
            </c:numRef>
          </c:cat>
          <c:val>
            <c:numRef>
              <c:f>Chart!$C$4:$I$4</c:f>
              <c:numCache>
                <c:formatCode>General</c:formatCode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</c:extLst>
          <c:invertIfNegative val="0"/>
        </c:ser>
        <c:ser seriesType="0">
          <c:idx val="1"/>
          <c:order val="1"/>
          <c:tx>
            <c:strRef>
              <c:f>Chart!$B$5</c:f>
            </c:strRef>
          </c:tx>
          <c:spPr>
            <a:solidFill>
              <a:schemeClr val="accent2"/>
            </a:solidFill>
            <a:ln w="0">
              <a:noFill/>
              <a:prstDash val="solid"/>
            </a:ln>
          </c:spPr>
          <c:cat>
            <c:numRef>
              <c:f>Chart!$C$3:$I$3</c:f>
              <c:numCache>
                <c:formatCode>General</c:formatCode>
              </c:numCache>
            </c:numRef>
          </c:cat>
          <c:val>
            <c:numRef>
              <c:f>Chart!$C$5:$I$5</c:f>
              <c:numCache>
                <c:formatCode>General</c:formatCode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</c:extLst>
          <c:invertIfNegative val="0"/>
        </c:ser>
        <c:ser seriesType="0">
          <c:idx val="2"/>
          <c:order val="2"/>
          <c:tx>
            <c:strRef>
              <c:f>Chart!$B$6</c:f>
            </c:strRef>
          </c:tx>
          <c:spPr>
            <a:solidFill>
              <a:schemeClr val="accent3"/>
            </a:solidFill>
            <a:ln w="0">
              <a:noFill/>
              <a:prstDash val="solid"/>
            </a:ln>
          </c:spPr>
          <c:cat>
            <c:numRef>
              <c:f>Chart!$C$3:$I$3</c:f>
              <c:numCache>
                <c:formatCode>General</c:formatCode>
              </c:numCache>
            </c:numRef>
          </c:cat>
          <c:val>
            <c:numRef>
              <c:f>Chart!$C$6:$I$6</c:f>
              <c:numCache>
                <c:formatCode>General</c:formatCode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</c:extLst>
          <c:invertIfNegative val="0"/>
        </c:ser>
        <c:ser seriesType="0">
          <c:idx val="3"/>
          <c:order val="3"/>
          <c:tx>
            <c:strRef>
              <c:f>Chart!$B$7</c:f>
            </c:strRef>
          </c:tx>
          <c:spPr>
            <a:solidFill>
              <a:schemeClr val="accent4"/>
            </a:solidFill>
            <a:ln w="0">
              <a:noFill/>
              <a:prstDash val="solid"/>
            </a:ln>
          </c:spPr>
          <c:cat>
            <c:numRef>
              <c:f>Chart!$C$3:$I$3</c:f>
              <c:numCache>
                <c:formatCode>General</c:formatCode>
              </c:numCache>
            </c:numRef>
          </c:cat>
          <c:val>
            <c:numRef>
              <c:f>Chart!$C$7:$I$7</c:f>
              <c:numCache>
                <c:formatCode>General</c:formatCode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</c:extLst>
          <c:invertIfNegative val="0"/>
        </c:ser>
        <c:axId val="36038329"/>
        <c:axId val="42921719"/>
        <c:barDir val="col"/>
        <c:grouping val="clustered"/>
        <c:gapWidth val="150"/>
        <c:varyColors val="0"/>
        <c:overlap val="-27"/>
      </c:barChart>
      <c:catAx axisType="0">
        <c:axId val="36038329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42921719"/>
      </c:catAx>
      <c:valAx axisType="3">
        <c:axId val="42921719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36038329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p>
          <a:pPr>
            <a:def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r>
            <a: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hart3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14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>Transportation Facilities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lineChart chartType="8">
        <c:ser seriesType="2">
          <c:idx val="0"/>
          <c:order val="0"/>
          <c:tx>
            <c:strRef>
              <c:f>Chart!$B$4</c:f>
            </c:strRef>
          </c:tx>
          <c:spPr>
            <a:solidFill>
              <a:srgbClr val="000000"/>
            </a:solidFill>
            <a:ln w="19050">
              <a:solidFill>
                <a:schemeClr val="accent1"/>
              </a:solidFill>
              <a:prstDash val="solid"/>
            </a:ln>
          </c:spPr>
          <c:cat>
            <c:numRef>
              <c:f>Chart!$C$3:$I$3</c:f>
              <c:numCache>
                <c:formatCode>General</c:formatCode>
              </c:numCache>
            </c:numRef>
          </c:cat>
          <c:val>
            <c:numRef>
              <c:f>Chart!$C$4:$I$4</c:f>
              <c:numCache>
                <c:formatCode>General</c:formatCode>
              </c:numCache>
            </c:numRef>
          </c:val>
          <c:extLst/>
          <c:smooth val="0"/>
          <c:marker>
            <c:symbol val="none"/>
            <c:spPr/>
          </c:marker>
        </c:ser>
        <c:ser seriesType="2">
          <c:idx val="1"/>
          <c:order val="1"/>
          <c:tx>
            <c:strRef>
              <c:f>Chart!$B$5</c:f>
            </c:strRef>
          </c:tx>
          <c:spPr>
            <a:solidFill>
              <a:srgbClr val="000000"/>
            </a:solidFill>
            <a:ln w="19050">
              <a:solidFill>
                <a:schemeClr val="accent2"/>
              </a:solidFill>
              <a:prstDash val="solid"/>
            </a:ln>
          </c:spPr>
          <c:cat>
            <c:numRef>
              <c:f>Chart!$C$3:$I$3</c:f>
              <c:numCache>
                <c:formatCode>General</c:formatCode>
              </c:numCache>
            </c:numRef>
          </c:cat>
          <c:val>
            <c:numRef>
              <c:f>Chart!$C$5:$I$5</c:f>
              <c:numCache>
                <c:formatCode>General</c:formatCode>
              </c:numCache>
            </c:numRef>
          </c:val>
          <c:extLst/>
          <c:smooth val="0"/>
          <c:marker>
            <c:symbol val="none"/>
            <c:spPr/>
          </c:marker>
        </c:ser>
        <c:ser seriesType="2">
          <c:idx val="2"/>
          <c:order val="2"/>
          <c:tx>
            <c:strRef>
              <c:f>Chart!$B$6</c:f>
            </c:strRef>
          </c:tx>
          <c:spPr>
            <a:solidFill>
              <a:srgbClr val="000000"/>
            </a:solidFill>
            <a:ln w="19050">
              <a:solidFill>
                <a:schemeClr val="accent3"/>
              </a:solidFill>
              <a:prstDash val="solid"/>
            </a:ln>
          </c:spPr>
          <c:cat>
            <c:numRef>
              <c:f>Chart!$C$3:$I$3</c:f>
              <c:numCache>
                <c:formatCode>General</c:formatCode>
              </c:numCache>
            </c:numRef>
          </c:cat>
          <c:val>
            <c:numRef>
              <c:f>Chart!$C$6:$I$6</c:f>
              <c:numCache>
                <c:formatCode>General</c:formatCode>
              </c:numCache>
            </c:numRef>
          </c:val>
          <c:extLst/>
          <c:smooth val="0"/>
          <c:marker>
            <c:symbol val="none"/>
            <c:spPr/>
          </c:marker>
        </c:ser>
        <c:ser seriesType="2">
          <c:idx val="3"/>
          <c:order val="3"/>
          <c:tx>
            <c:strRef>
              <c:f>Chart!$B$7</c:f>
            </c:strRef>
          </c:tx>
          <c:spPr>
            <a:solidFill>
              <a:srgbClr val="000000"/>
            </a:solidFill>
            <a:ln w="19050">
              <a:solidFill>
                <a:schemeClr val="accent4"/>
              </a:solidFill>
              <a:prstDash val="solid"/>
            </a:ln>
          </c:spPr>
          <c:cat>
            <c:numRef>
              <c:f>Chart!$C$3:$I$3</c:f>
              <c:numCache>
                <c:formatCode>General</c:formatCode>
              </c:numCache>
            </c:numRef>
          </c:cat>
          <c:val>
            <c:numRef>
              <c:f>Chart!$C$7:$I$7</c:f>
              <c:numCache>
                <c:formatCode>General</c:formatCode>
              </c:numCache>
            </c:numRef>
          </c:val>
          <c:extLst/>
          <c:smooth val="0"/>
          <c:marker>
            <c:symbol val="none"/>
            <c:spPr/>
          </c:marker>
        </c:ser>
        <c:axId val="18136395"/>
        <c:axId val="87502651"/>
        <c:grouping val="standard"/>
        <c:varyColors val="0"/>
        <c:smooth val="0"/>
        <c:marker val="0"/>
      </c:lineChart>
      <c:catAx axisType="0">
        <c:axId val="18136395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87502651"/>
      </c:catAx>
      <c:valAx axisType="3">
        <c:axId val="87502651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 w="9525"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18136395"/>
      </c:valAx>
      <c:spPr>
        <a:noFill/>
        <a:ln>
          <a:noFill/>
        </a:ln>
      </c:spPr>
    </c:plotArea>
    <c:legend>
      <c:legendPos val="b"/>
      <c:overlay val="0"/>
      <c:spPr>
        <a:noFill/>
      </c:spPr>
      <c:txPr>
        <a:bodyPr/>
        <a:p>
          <a:pPr>
            <a:def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r>
            <a: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1000"/>
  </a:schemeClr>
  <a:schemeClr val="accent2">
    <a:lumMod val="81000"/>
  </a:schemeClr>
  <a:schemeClr val="accent3">
    <a:lumMod val="81000"/>
  </a:schemeClr>
  <a:schemeClr val="accent4">
    <a:lumMod val="81000"/>
  </a:schemeClr>
  <a:schemeClr val="accent5">
    <a:lumMod val="81000"/>
  </a:schemeClr>
  <a:schemeClr val="accent6">
    <a:lumMod val="81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2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1000"/>
  </a:schemeClr>
  <a:schemeClr val="accent2">
    <a:lumMod val="81000"/>
  </a:schemeClr>
  <a:schemeClr val="accent3">
    <a:lumMod val="81000"/>
  </a:schemeClr>
  <a:schemeClr val="accent4">
    <a:lumMod val="81000"/>
  </a:schemeClr>
  <a:schemeClr val="accent5">
    <a:lumMod val="81000"/>
  </a:schemeClr>
  <a:schemeClr val="accent6">
    <a:lumMod val="81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3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1000"/>
  </a:schemeClr>
  <a:schemeClr val="accent2">
    <a:lumMod val="81000"/>
  </a:schemeClr>
  <a:schemeClr val="accent3">
    <a:lumMod val="81000"/>
  </a:schemeClr>
  <a:schemeClr val="accent4">
    <a:lumMod val="81000"/>
  </a:schemeClr>
  <a:schemeClr val="accent5">
    <a:lumMod val="81000"/>
  </a:schemeClr>
  <a:schemeClr val="accent6">
    <a:lumMod val="81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10</xdr:col>
      <xdr:colOff>676370</xdr:colOff>
      <xdr:row>0</xdr:row>
      <xdr:rowOff>17240</xdr:rowOff>
    </xdr:from>
    <xdr:to>
      <xdr:col>12</xdr:col>
      <xdr:colOff>152495</xdr:colOff>
      <xdr:row>2</xdr:row>
      <xdr:rowOff>302990</xdr:rowOff>
    </xdr:to>
    <xdr:pic>
      <xdr:nvPicPr>
        <xdr:cNvPr id="1" name="picture0">
          <a:extLst>
            <a:ext uri="{FF2B5EF4-FFF2-40B4-BE49-F238E27FC236}">
              <a16:creationId xmlns:a16="http://schemas.microsoft.com/office/drawing/2014/main" id="{991D1358-85AF-36C2-43CB-B2328899C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  <a:ln w="9525">
          <a:solidFill>
            <a:srgbClr val="000000">
              <a:alpha val="0"/>
            </a:srgbClr>
          </a:solidFill>
          <a:prstDash val="solid"/>
        </a:ln>
      </xdr:spPr>
    </xdr:pic>
    <xdr:clientData/>
  </xdr:twoCellAnchor>
  <xdr:twoCellAnchor>
    <xdr:from>
      <xdr:col>14</xdr:col>
      <xdr:colOff>22412</xdr:colOff>
      <xdr:row>9</xdr:row>
      <xdr:rowOff>7993</xdr:rowOff>
    </xdr:from>
    <xdr:to>
      <xdr:col>15</xdr:col>
      <xdr:colOff>1637179</xdr:colOff>
      <xdr:row>23</xdr:row>
      <xdr:rowOff>10234</xdr:rowOff>
    </xdr:to>
    <xdr:graphicFrame>
      <xdr:nvGraphicFramePr>
        <xdr:cNvPr id="2" name="Chart 1"/>
        <xdr:cNvGraphicFramePr>
          <a:graphicFrameLocks noChangeAspect="0"/>
        </xdr:cNvGraphicFramePr>
      </xdr:nvGraphicFramePr>
      <xdr:xfrm>
        <a:off x="11411591" y="1831350"/>
        <a:ext cx="2322338" cy="3159098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409575</xdr:colOff>
      <xdr:row>8</xdr:row>
      <xdr:rowOff>9525</xdr:rowOff>
    </xdr:from>
    <xdr:to>
      <xdr:col>8</xdr:col>
      <xdr:colOff>714375</xdr:colOff>
      <xdr:row>10</xdr:row>
      <xdr:rowOff>38100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rcRect l="0" r="0" t="0" b="0"/>
        <a:stretch/>
      </xdr:blipFill>
      <xdr:spPr>
        <a:xfrm>
          <a:off x="4514850" y="1447800"/>
          <a:ext cx="1485900" cy="409575"/>
        </a:xfrm>
        <a:prstGeom prst="rect">
          <a:avLst/>
        </a:prstGeom>
        <a:noFill/>
        <a:ln cmpd="sng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8</xdr:row>
      <xdr:rowOff>28575</xdr:rowOff>
    </xdr:from>
    <xdr:to>
      <xdr:col>10</xdr:col>
      <xdr:colOff>76200</xdr:colOff>
      <xdr:row>25</xdr:row>
      <xdr:rowOff>47625</xdr:rowOff>
    </xdr:to>
    <xdr:graphicFrame>
      <xdr:nvGraphicFramePr>
        <xdr:cNvPr id="6" name="Chart 1"/>
        <xdr:cNvGraphicFramePr>
          <a:graphicFrameLocks noChangeAspect="0"/>
        </xdr:cNvGraphicFramePr>
      </xdr:nvGraphicFramePr>
      <xdr:xfrm>
        <a:off x="276225" y="1552575"/>
        <a:ext cx="5400675" cy="3257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352425</xdr:colOff>
      <xdr:row>1</xdr:row>
      <xdr:rowOff>104775</xdr:rowOff>
    </xdr:from>
    <xdr:to>
      <xdr:col>18</xdr:col>
      <xdr:colOff>495300</xdr:colOff>
      <xdr:row>17</xdr:row>
      <xdr:rowOff>38100</xdr:rowOff>
    </xdr:to>
    <xdr:graphicFrame>
      <xdr:nvGraphicFramePr>
        <xdr:cNvPr id="9" name="Chart 2"/>
        <xdr:cNvGraphicFramePr>
          <a:graphicFrameLocks noChangeAspect="0"/>
        </xdr:cNvGraphicFramePr>
      </xdr:nvGraphicFramePr>
      <xdr:xfrm>
        <a:off x="5953125" y="295275"/>
        <a:ext cx="4867275" cy="29813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3</xdr:row>
      <xdr:rowOff>28575</xdr:rowOff>
    </xdr:from>
    <xdr:to>
      <xdr:col>3</xdr:col>
      <xdr:colOff>266700</xdr:colOff>
      <xdr:row>15</xdr:row>
      <xdr:rowOff>47625</xdr:rowOff>
    </xdr:to>
    <xdr:cxnSp>
      <xdr:nvCxnSpPr>
        <xdr:cNvPr id="2" name="ConnectorShape 1"/>
        <xdr:cNvCxnSpPr>
          <a:cxnSpLocks noChangeAspect="0"/>
        </xdr:cNvCxnSpPr>
      </xdr:nvCxnSpPr>
      <xdr:spPr>
        <a:xfrm>
          <a:off x="180975" y="600075"/>
          <a:ext cx="1857375" cy="2305050"/>
        </a:xfrm>
        <a:prstGeom prst="bentConnector3">
          <a:avLst>
            <a:gd name="adj1" fmla="val 50000"/>
          </a:avLst>
        </a:prstGeom>
        <a:noFill/>
        <a:ln w="38100" cmpd="sng" cap="flat">
          <a:solidFill>
            <a:schemeClr val="accent1"/>
          </a:solidFill>
          <a:prstDash val="solid"/>
          <a:round/>
          <a:headEnd w="med" len="med" type="none"/>
          <a:tailEnd w="med" len="med" type="none"/>
        </a:ln>
      </xdr:spPr>
      <xdr:style>
        <a:lnRef idx="1">
          <a:schemeClr val="accent1"/>
        </a:lnRef>
        <a:fillRef idx="0"/>
        <a:effectRef idx="0">
          <a:schemeClr val="accent1"/>
        </a:effectRef>
        <a:fontRef idx="minor">
          <a:schemeClr val="accent1"/>
        </a:fontRef>
      </xdr:style>
    </xdr:cxnSp>
    <xdr:clientData/>
  </xdr:twoCellAnchor>
  <xdr:twoCellAnchor>
    <xdr:from>
      <xdr:col>5</xdr:col>
      <xdr:colOff>19050</xdr:colOff>
      <xdr:row>3</xdr:row>
      <xdr:rowOff>19050</xdr:rowOff>
    </xdr:from>
    <xdr:to>
      <xdr:col>7</xdr:col>
      <xdr:colOff>200025</xdr:colOff>
      <xdr:row>15</xdr:row>
      <xdr:rowOff>161925</xdr:rowOff>
    </xdr:to>
    <xdr:cxnSp>
      <xdr:nvCxnSpPr>
        <xdr:cNvPr id="3" name="ConnectorShape 2"/>
        <xdr:cNvCxnSpPr>
          <a:cxnSpLocks noChangeAspect="0"/>
        </xdr:cNvCxnSpPr>
      </xdr:nvCxnSpPr>
      <xdr:spPr>
        <a:xfrm>
          <a:off x="2971800" y="590550"/>
          <a:ext cx="1362075" cy="2428875"/>
        </a:xfrm>
        <a:prstGeom prst="straightConnector1">
          <a:avLst/>
        </a:prstGeom>
        <a:noFill/>
        <a:ln w="38100" cmpd="sng" cap="flat">
          <a:solidFill>
            <a:schemeClr val="accent1"/>
          </a:solidFill>
          <a:prstDash val="solid"/>
          <a:round/>
          <a:headEnd w="med" len="med" type="none"/>
          <a:tailEnd w="med" len="med" type="none"/>
        </a:ln>
      </xdr:spPr>
      <xdr:style>
        <a:lnRef idx="1">
          <a:schemeClr val="accent1"/>
        </a:lnRef>
        <a:fillRef idx="0"/>
        <a:effectRef idx="0">
          <a:schemeClr val="accent1"/>
        </a:effectRef>
        <a:fontRef idx="minor">
          <a:schemeClr val="accent1"/>
        </a:fontRef>
      </xdr:style>
    </xdr:cxnSp>
    <xdr:clientData/>
  </xdr:twoCellAnchor>
  <xdr:twoCellAnchor>
    <xdr:from>
      <xdr:col>0</xdr:col>
      <xdr:colOff>285750</xdr:colOff>
      <xdr:row>17</xdr:row>
      <xdr:rowOff>9525</xdr:rowOff>
    </xdr:from>
    <xdr:to>
      <xdr:col>3</xdr:col>
      <xdr:colOff>466725</xdr:colOff>
      <xdr:row>27</xdr:row>
      <xdr:rowOff>9525</xdr:rowOff>
    </xdr:to>
    <xdr:sp>
      <xdr:nvSpPr>
        <xdr:cNvPr id="4" name="smileyFace 1"/>
        <xdr:cNvSpPr>
          <a:spLocks noChangeAspect="0"/>
        </xdr:cNvSpPr>
      </xdr:nvSpPr>
      <xdr:spPr>
        <a:xfrm>
          <a:off x="285750" y="3248025"/>
          <a:ext cx="1952625" cy="1905000"/>
        </a:xfrm>
        <a:prstGeom prst="smileyFace">
          <a:avLst>
            <a:gd name="adj" fmla="val 4653"/>
          </a:avLst>
        </a:prstGeom>
        <a:solidFill>
          <a:srgbClr val="ffc000"/>
        </a:solidFill>
        <a:ln w="9525" cmpd="sng" cap="flat">
          <a:solidFill>
            <a:srgbClr val="bc8c00"/>
          </a:solidFill>
          <a:prstDash val="solid"/>
          <a:round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rgbClr val="ffffff"/>
        </a:fontRef>
      </xdr:style>
      <xdr:txBody>
        <a:bodyPr vert="horz" wrap="square" horzOverflow="clip" vertOverflow="clip" anchor="t"/>
        <a:p>
          <a:pPr algn="l">
            <a:defRPr sz="1100" b="0" i="0">
              <a:solidFill>
                <a:srgbClr val="ffffff"/>
              </a:solidFill>
              <a:latin typeface="Calibri"/>
            </a:defRPr>
          </a:pPr>
          <a:r>
            <a:rPr sz="1100" b="0" i="0">
              <a:solidFill>
                <a:srgbClr val="ffffff"/>
              </a:solidFill>
              <a:latin typeface="Calibri"/>
            </a:rPr>
            <a:t/>
          </a:r>
          <a:endParaRPr/>
        </a:p>
      </xdr:txBody>
    </xdr:sp>
    <xdr:clientData/>
  </xdr:twoCellAnchor>
  <xdr:twoCellAnchor>
    <xdr:from>
      <xdr:col>4</xdr:col>
      <xdr:colOff>152400</xdr:colOff>
      <xdr:row>17</xdr:row>
      <xdr:rowOff>0</xdr:rowOff>
    </xdr:from>
    <xdr:to>
      <xdr:col>7</xdr:col>
      <xdr:colOff>333375</xdr:colOff>
      <xdr:row>27</xdr:row>
      <xdr:rowOff>0</xdr:rowOff>
    </xdr:to>
    <xdr:sp>
      <xdr:nvSpPr>
        <xdr:cNvPr id="5" name="Shape 1"/>
        <xdr:cNvSpPr>
          <a:spLocks noChangeAspect="0"/>
        </xdr:cNvSpPr>
      </xdr:nvSpPr>
      <xdr:spPr>
        <a:xfrm>
          <a:off x="2514600" y="3238500"/>
          <a:ext cx="1952625" cy="1905000"/>
        </a:xfrm>
        <a:prstGeom prst="noSmoking">
          <a:avLst>
            <a:gd name="adj" fmla="val 18750"/>
          </a:avLst>
        </a:prstGeom>
        <a:solidFill>
          <a:srgbClr val="c00000"/>
        </a:solidFill>
        <a:ln w="9525" cmpd="sng" cap="flat">
          <a:solidFill>
            <a:srgbClr val="c00000"/>
          </a:solidFill>
          <a:prstDash val="solid"/>
          <a:round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rgbClr val="ffffff"/>
        </a:fontRef>
      </xdr:style>
      <xdr:txBody>
        <a:bodyPr vert="horz" wrap="square" horzOverflow="clip" vertOverflow="clip" anchor="t"/>
        <a:p>
          <a:pPr algn="l">
            <a:defRPr sz="1100" b="0" i="0">
              <a:solidFill>
                <a:srgbClr val="ffffff"/>
              </a:solidFill>
              <a:latin typeface="Calibri"/>
            </a:defRPr>
          </a:pPr>
          <a:r>
            <a:rPr sz="1100" b="0" i="0">
              <a:solidFill>
                <a:srgbClr val="ffffff"/>
              </a:solidFill>
              <a:latin typeface="Calibri"/>
            </a:rPr>
            <a:t/>
          </a:r>
          <a:endParaRPr/>
        </a:p>
      </xdr:txBody>
    </xdr:sp>
    <xdr:clientData/>
  </xdr:twoCellAnchor>
  <xdr:twoCellAnchor>
    <xdr:from>
      <xdr:col>7</xdr:col>
      <xdr:colOff>561975</xdr:colOff>
      <xdr:row>17</xdr:row>
      <xdr:rowOff>0</xdr:rowOff>
    </xdr:from>
    <xdr:to>
      <xdr:col>11</xdr:col>
      <xdr:colOff>152400</xdr:colOff>
      <xdr:row>27</xdr:row>
      <xdr:rowOff>0</xdr:rowOff>
    </xdr:to>
    <xdr:sp>
      <xdr:nvSpPr>
        <xdr:cNvPr id="7" name="Shape 5"/>
        <xdr:cNvSpPr>
          <a:spLocks noChangeAspect="0"/>
        </xdr:cNvSpPr>
      </xdr:nvSpPr>
      <xdr:spPr>
        <a:xfrm>
          <a:off x="4695825" y="3238500"/>
          <a:ext cx="1952625" cy="1905000"/>
        </a:xfrm>
        <a:prstGeom prst="sun">
          <a:avLst>
            <a:gd name="adj" fmla="val 25000"/>
          </a:avLst>
        </a:prstGeom>
        <a:solidFill>
          <a:srgbClr val="ffc000"/>
        </a:solidFill>
        <a:ln w="9525" cmpd="sng" cap="flat">
          <a:solidFill>
            <a:srgbClr val="bc8c00"/>
          </a:solidFill>
          <a:prstDash val="solid"/>
          <a:round/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rgbClr val="ffffff"/>
        </a:fontRef>
      </xdr:style>
      <xdr:txBody>
        <a:bodyPr vert="horz" wrap="square" horzOverflow="clip" vertOverflow="clip" anchor="t"/>
        <a:p>
          <a:pPr algn="l">
            <a:defRPr sz="1100" b="0" i="0">
              <a:solidFill>
                <a:srgbClr val="ffffff"/>
              </a:solidFill>
              <a:latin typeface="Calibri"/>
            </a:defRPr>
          </a:pPr>
          <a:r>
            <a:rPr sz="1100" b="0" i="0">
              <a:solidFill>
                <a:srgbClr val="ffffff"/>
              </a:solidFill>
              <a:latin typeface="Calibri"/>
            </a:rPr>
            <a:t/>
          </a:r>
          <a:endParaRPr/>
        </a:p>
      </xdr:txBody>
    </xdr:sp>
    <xdr:clientData/>
  </xdr:twoCellAnchor>
  <xdr:twoCellAnchor>
    <xdr:from>
      <xdr:col>8</xdr:col>
      <xdr:colOff>190500</xdr:colOff>
      <xdr:row>3</xdr:row>
      <xdr:rowOff>76200</xdr:rowOff>
    </xdr:from>
    <xdr:to>
      <xdr:col>11</xdr:col>
      <xdr:colOff>409575</xdr:colOff>
      <xdr:row>15</xdr:row>
      <xdr:rowOff>9525</xdr:rowOff>
    </xdr:to>
    <xdr:sp>
      <xdr:nvSpPr>
        <xdr:cNvPr id="8" name="stripedRightArrow 1"/>
        <xdr:cNvSpPr>
          <a:spLocks noChangeAspect="0"/>
        </xdr:cNvSpPr>
      </xdr:nvSpPr>
      <xdr:spPr>
        <a:xfrm>
          <a:off x="4914900" y="647700"/>
          <a:ext cx="1990725" cy="2219325"/>
        </a:xfrm>
        <a:prstGeom prst="stripedRightArrow">
          <a:avLst>
            <a:gd name="adj1" fmla="val 50000"/>
            <a:gd name="adj2" fmla="val 50000"/>
          </a:avLst>
        </a:prstGeom>
        <a:solidFill>
          <a:schemeClr val="accent1"/>
        </a:solidFill>
        <a:ln w="9525" cmpd="sng">
          <a:solidFill>
            <a:schemeClr val="accent1">
              <a:shade val="50000"/>
            </a:schemeClr>
          </a:solidFill>
        </a:ln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="horz" wrap="square" horzOverflow="clip" vertOverflow="clip" anchor="t"/>
        <a:p>
          <a:pPr algn="l">
            <a:defRPr sz="1100">
              <a:solidFill>
                <a:schemeClr val="bg1"/>
              </a:solidFill>
              <a:latin typeface="+mn-lt"/>
            </a:defRPr>
          </a:pPr>
          <a:r>
            <a:rPr sz="1100">
              <a:solidFill>
                <a:schemeClr val="bg1"/>
              </a:solidFill>
              <a:latin typeface="+mn-lt"/>
            </a:rPr>
            <a:t/>
          </a:r>
          <a:endParaRPr/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id="1" name="tblAging" displayName="tblAging" ref="F11:L44" totalsRowCount="1" headerRowDxfId="2" totalsRowDxfId="1">
  <autoFilter ref="F11:L4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Customer" totalsRowLabel="Total" totalsRowDxfId="1"/>
    <tableColumn id="2" name="Total Outstanding" totalsRowFunction="custom" totalsRowDxfId="1">
      <totalsRowFormula>SUM(tblAging[Total Outstanding])</totalsRowFormula>
    </tableColumn>
    <tableColumn id="6" name="Current" totalsRowFunction="custom" totalsRowDxfId="1">
      <totalsRowFormula>SUM(tblAging[Current])</totalsRowFormula>
    </tableColumn>
    <tableColumn id="7" name="1 to 30 Days" totalsRowFunction="custom" totalsRowDxfId="1">
      <totalsRowFormula>SUM(tblAging[1 to 30 Days])</totalsRowFormula>
    </tableColumn>
    <tableColumn id="8" name="31 to 60 Days" totalsRowFunction="custom" totalsRowDxfId="1">
      <totalsRowFormula>SUM(tblAging[31 to 60 Days])</totalsRowFormula>
    </tableColumn>
    <tableColumn id="9" name="61 to 90 Days" totalsRowFunction="custom" totalsRowDxfId="1">
      <totalsRowFormula>SUM(tblAging[61 to 90 Days])</totalsRowFormula>
    </tableColumn>
    <tableColumn id="10" name="Over 90 Days" totalsRowFunction="custom" totalsRowDxfId="1">
      <totalsRowFormula>SUM(tblAging[Over 90 Days])</totalsRowFormula>
    </tableColumn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id="2" name="tblInvoices" displayName="tblInvoices" ref="A3:J103">
  <autoFilter ref="A3:J10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CustomerName"/>
    <tableColumn id="2" name="Invoice Number"/>
    <tableColumn id="3" name="Invoice Date"/>
    <tableColumn id="4" name="Due Date"/>
    <tableColumn id="5" name="Invoice Amount"/>
    <tableColumn id="6" name="Current"/>
    <tableColumn id="7" name="1 to 30 Days"/>
    <tableColumn id="8" name="31 to 60 Days"/>
    <tableColumn id="9" name="61 to 90 Days"/>
    <tableColumn id="10" name="Over 90 Days"/>
  </tableColumns>
  <tableStyleInfo name="TableStyleLight6" showFirstColumn="0" showLastColumn="0" showRowStripes="0" showColumnStripes="1"/>
</table>
</file>

<file path=xl/tables/table3.xml><?xml version="1.0" encoding="utf-8"?>
<table xmlns="http://schemas.openxmlformats.org/spreadsheetml/2006/main" id="3" name="Table1" displayName="Table1" ref="C6:H21" dataDxfId="3" headerRowDxfId="4">
  <autoFilter ref="C6:H21"/>
  <tableColumns count="6">
    <tableColumn id="1" name="Date of Sale" dataDxfId="3"/>
    <tableColumn id="2" name="Classifcation" dataDxfId="3"/>
    <tableColumn id="3" name="Model" dataDxfId="3"/>
    <tableColumn id="4" name="Drive System" dataDxfId="3"/>
    <tableColumn id="5" name="Color" dataDxfId="3"/>
    <tableColumn id="6" name="Sales Territory" dataDxfId="3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arget="https://developer.mescius.com/spreadjs/demos/showcase/aging-report/purejs" Type="http://schemas.openxmlformats.org/officeDocument/2006/relationships/hyperlink" TargetMode="External"/><Relationship Id="rId2" Target="https://developer.mescius.com/spreadjs/demos/showcase/aging-report/purejs" Type="http://schemas.openxmlformats.org/officeDocument/2006/relationships/hyperlink" TargetMode="External"/><Relationship Id="rId3" Target="https://developer.mescius.com/spreadjs/demos/showcase/aging-report/purejs" Type="http://schemas.openxmlformats.org/officeDocument/2006/relationships/hyperlink" TargetMode="External"/><Relationship Id="rId4" Target="https://developer.mescius.com/spreadjs/demos/showcase/aging-report/purejs" Type="http://schemas.openxmlformats.org/officeDocument/2006/relationships/hyperlink" TargetMode="External"/><Relationship Id="rId5" Target="https://developer.mescius.com/spreadjs/demos/showcase/aging-report/purejs" Type="http://schemas.openxmlformats.org/officeDocument/2006/relationships/hyperlink" TargetMode="External"/><Relationship Id="rId6" Target="https://developer.mescius.com/spreadjs/demos/showcase/aging-report/purejs" Type="http://schemas.openxmlformats.org/officeDocument/2006/relationships/hyperlink" TargetMode="External"/><Relationship Id="rId7" Target="https://developer.mescius.com/spreadjs/demos/showcase/aging-report/purejs" Type="http://schemas.openxmlformats.org/officeDocument/2006/relationships/hyperlink" TargetMode="External"/><Relationship Id="rId8" Target="https://developer.mescius.com/spreadjs/demos/showcase/aging-report/purejs" Type="http://schemas.openxmlformats.org/officeDocument/2006/relationships/hyperlink" TargetMode="External"/><Relationship Id="rId9" Target="https://developer.mescius.com/spreadjs/demos/showcase/aging-report/purejs" Type="http://schemas.openxmlformats.org/officeDocument/2006/relationships/hyperlink" TargetMode="External"/><Relationship Id="rId10" Target="https://developer.mescius.com/spreadjs/demos/showcase/aging-report/purejs" Type="http://schemas.openxmlformats.org/officeDocument/2006/relationships/hyperlink" TargetMode="External"/><Relationship Id="rId11" Type="http://schemas.openxmlformats.org/officeDocument/2006/relationships/table" Target="../tables/table1.xml"/><Relationship Id="rId1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arget="https://developer.mescius.com/spreadjs/demos/features/tables/basic-table/purejs" Type="http://schemas.openxmlformats.org/officeDocument/2006/relationships/hyperlink" TargetMode="External"/><Relationship Id="rId2" Target="https://developer.mescius.com/spreadjs/demos/features/tables/basic-table/purejs" Type="http://schemas.openxmlformats.org/officeDocument/2006/relationships/hyperlink" TargetMode="External"/><Relationship Id="rId3" Target="https://developer.mescius.com/spreadjs/demos/features/tables/basic-table/purejs" Type="http://schemas.openxmlformats.org/officeDocument/2006/relationships/hyperlink" TargetMode="External"/><Relationship Id="rId4" Target="https://developer.mescius.com/spreadjs/demos/features/tables/basic-table/purejs" Type="http://schemas.openxmlformats.org/officeDocument/2006/relationships/hyperlink" TargetMode="External"/><Relationship Id="rId5" Target="https://developer.mescius.com/spreadjs/demos/features/tables/basic-table/purejs" Type="http://schemas.openxmlformats.org/officeDocument/2006/relationships/hyperlink" TargetMode="External"/><Relationship Id="rId6" Target="https://developer.mescius.com/spreadjs/demos/features/tables/basic-table/purejs" Type="http://schemas.openxmlformats.org/officeDocument/2006/relationships/hyperlink" TargetMode="External"/><Relationship Id="rId7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arget="https://developer.mescius.com/spreadjs/demos/features/cells/cell-basic/purejs" Type="http://schemas.openxmlformats.org/officeDocument/2006/relationships/hyperlink" TargetMode="External"/><Relationship Id="rId2" Target="https://developer.mescius.com/spreadjs/demos/features/cells/cell-basic/purejs" Type="http://schemas.openxmlformats.org/officeDocument/2006/relationships/hyperlink" TargetMode="External"/><Relationship Id="rId3" Target="https://developer.mescius.com/spreadjs/demos/features/cells/cell-basic/purejs" Type="http://schemas.openxmlformats.org/officeDocument/2006/relationships/hyperlink" TargetMode="External"/><Relationship Id="rId4" Target="https://developer.mescius.com/spreadjs/demos/features/cells/cell-basic/purejs" Type="http://schemas.openxmlformats.org/officeDocument/2006/relationships/hyperlink" TargetMode="External"/><Relationship Id="rId5" Target="https://developer.mescius.com/spreadjs/demos/features/cells/cell-basic/purejs" Type="http://schemas.openxmlformats.org/officeDocument/2006/relationships/hyperlink" TargetMode="External"/><Relationship Id="rId6" Target="https://developer.mescius.com/spreadjs/demos/features/cells/cell-basic/purejs" Type="http://schemas.openxmlformats.org/officeDocument/2006/relationships/hyperlink" TargetMode="External"/><Relationship Id="rId7" Target="https://developer.mescius.com/spreadjs/demos/features/cells/cell-basic/purejs" Type="http://schemas.openxmlformats.org/officeDocument/2006/relationships/hyperlink" TargetMode="External"/><Relationship Id="rId8" Target="https://developer.mescius.com/spreadjs/demos/features/cells/cell-basic/purejs" Type="http://schemas.openxmlformats.org/officeDocument/2006/relationships/hyperlink" TargetMode="External"/><Relationship Id="rId9" Target="https://developer.mescius.com/spreadjs/demos/features/cells/cell-basic/purejs" Type="http://schemas.openxmlformats.org/officeDocument/2006/relationships/hyperlink" TargetMode="External"/><Relationship Id="rId10" Target="https://developer.mescius.com/spreadjs/demos/features/cells/cell-basic/purejs" Type="http://schemas.openxmlformats.org/officeDocument/2006/relationships/hyperlink" TargetMode="External"/><Relationship Id="rId11" Target="https://developer.mescius.com/spreadjs/demos/features/cells/cell-basic/purejs" Type="http://schemas.openxmlformats.org/officeDocument/2006/relationships/hyperlink" TargetMode="External"/><Relationship Id="rId12" Target="https://developer.mescius.com/spreadjs/demos/features/cells/cell-basic/purejs" Type="http://schemas.openxmlformats.org/officeDocument/2006/relationships/hyperlink" TargetMode="External"/><Relationship Id="rId13" Target="https://developer.mescius.com/spreadjs/demos/features/cells/cell-basic/purejs" Type="http://schemas.openxmlformats.org/officeDocument/2006/relationships/hyperlink" TargetMode="External"/><Relationship Id="rId14" Target="https://developer.mescius.com/spreadjs/demos/features/cells/cell-basic/purejs" Type="http://schemas.openxmlformats.org/officeDocument/2006/relationships/hyperlink" TargetMode="External"/><Relationship Id="rId15" Target="https://developer.mescius.com/spreadjs/demos/features/cells/cell-basic/purejs" Type="http://schemas.openxmlformats.org/officeDocument/2006/relationships/hyperlink" TargetMode="External"/><Relationship Id="rId16" Target="https://developer.mescius.com/spreadjs/demos/features/cells/cell-basic/purejs" Type="http://schemas.openxmlformats.org/officeDocument/2006/relationships/hyperlink" TargetMode="External"/><Relationship Id="rId17" Target="https://developer.mescius.com/spreadjs/demos/features/cells/cell-basic/purejs" Type="http://schemas.openxmlformats.org/officeDocument/2006/relationships/hyperlink" TargetMode="External"/><Relationship Id="rId18" Target="https://developer.mescius.com/spreadjs/demos/features/cells/cell-basic/purejs" Type="http://schemas.openxmlformats.org/officeDocument/2006/relationships/hyperlink" TargetMode="External"/><Relationship Id="rId19" Target="https://developer.mescius.com/spreadjs/demos/features/cells/cell-basic/purejs" Type="http://schemas.openxmlformats.org/officeDocument/2006/relationships/hyperlink" TargetMode="External"/><Relationship Id="rId20" Target="https://developer.mescius.com/spreadjs/demos/features/cells/cell-basic/purejs" Type="http://schemas.openxmlformats.org/officeDocument/2006/relationships/hyperlink" TargetMode="External"/><Relationship Id="rId21" Type="http://schemas.openxmlformats.org/officeDocument/2006/relationships/comments" Target="../comments3.xml"/><Relationship Id="rId22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arget="https://developer.mescius.com/spreadjs/demos/features/calculation/calc-service/purejs" Type="http://schemas.openxmlformats.org/officeDocument/2006/relationships/hyperlink" TargetMode="External"/><Relationship Id="rId2" Target="https://developer.mescius.com/spreadjs/demos/features/calculation/calc-service/purejs" Type="http://schemas.openxmlformats.org/officeDocument/2006/relationships/hyperlink" TargetMode="External"/><Relationship Id="rId3" Target="https://developer.mescius.com/spreadjs/demos/features/calculation/calc-service/purejs" Type="http://schemas.openxmlformats.org/officeDocument/2006/relationships/hyperlink" TargetMode="External"/><Relationship Id="rId4" Target="https://developer.mescius.com/spreadjs/demos/features/calculation/calc-service/purejs" Type="http://schemas.openxmlformats.org/officeDocument/2006/relationships/hyperlink" TargetMode="External"/><Relationship Id="rId5" Target="https://developer.mescius.com/spreadjs/demos/features/calculation/calc-service/purejs" Type="http://schemas.openxmlformats.org/officeDocument/2006/relationships/hyperlink" TargetMode="External"/><Relationship Id="rId6" Target="https://developer.mescius.com/spreadjs/demos/features/calculation/calc-service/purejs" Type="http://schemas.openxmlformats.org/officeDocument/2006/relationships/hyperlink" TargetMode="External"/><Relationship Id="rId7" Target="https://developer.mescius.com/spreadjs/demos/features/calculation/calc-service/purejs" Type="http://schemas.openxmlformats.org/officeDocument/2006/relationships/hyperlink" TargetMode="External"/><Relationship Id="rId8" Target="https://developer.mescius.com/spreadjs/demos/features/calculation/calc-service/purejs" Type="http://schemas.openxmlformats.org/officeDocument/2006/relationships/hyperlink" TargetMode="External"/><Relationship Id="rId9" Target="https://developer.mescius.com/spreadjs/demos/features/calculation/calc-service/purejs" Type="http://schemas.openxmlformats.org/officeDocument/2006/relationships/hyperlink" TargetMode="External"/><Relationship Id="rId10" Target="https://developer.mescius.com/spreadjs/demos/features/calculation/calc-service/purejs" Type="http://schemas.openxmlformats.org/officeDocument/2006/relationships/hyperlink" TargetMode="External"/></Relationships>
</file>

<file path=xl/worksheets/_rels/sheet5.xml.rels><?xml version="1.0" encoding="UTF-8" standalone="yes"?>
<Relationships xmlns="http://schemas.openxmlformats.org/package/2006/relationships"><Relationship Id="rId1" Target="https://developer.mescius.com/spreadjs/demos/features/cells/conditional-format/basic-conditional-format/purejs" Type="http://schemas.openxmlformats.org/officeDocument/2006/relationships/hyperlink" TargetMode="External"/><Relationship Id="rId2" Target="https://developer.mescius.com/spreadjs/demos/features/cells/conditional-format/basic-conditional-format/purejs" Type="http://schemas.openxmlformats.org/officeDocument/2006/relationships/hyperlink" TargetMode="External"/><Relationship Id="rId3" Target="https://developer.mescius.com/spreadjs/demos/features/cells/conditional-format/basic-conditional-format/purejs" Type="http://schemas.openxmlformats.org/officeDocument/2006/relationships/hyperlink" TargetMode="External"/><Relationship Id="rId4" Target="https://developer.mescius.com/spreadjs/demos/features/cells/conditional-format/basic-conditional-format/purejs" Type="http://schemas.openxmlformats.org/officeDocument/2006/relationships/hyperlink" TargetMode="External"/><Relationship Id="rId5" Target="https://developer.mescius.com/spreadjs/demos/features/cells/conditional-format/basic-conditional-format/purejs" Type="http://schemas.openxmlformats.org/officeDocument/2006/relationships/hyperlink" TargetMode="External"/><Relationship Id="rId6" Target="https://developer.mescius.com/spreadjs/demos/features/cells/conditional-format/basic-conditional-format/purejs" Type="http://schemas.openxmlformats.org/officeDocument/2006/relationships/hyperlink" TargetMode="External"/><Relationship Id="rId7" Target="https://developer.mescius.com/spreadjs/demos/features/cells/conditional-format/basic-conditional-format/purejs" Type="http://schemas.openxmlformats.org/officeDocument/2006/relationships/hyperlink" TargetMode="External"/><Relationship Id="rId8" Target="https://developer.mescius.com/spreadjs/demos/features/cells/conditional-format/basic-conditional-format/purejs" Type="http://schemas.openxmlformats.org/officeDocument/2006/relationships/hyperlink" TargetMode="External"/><Relationship Id="rId9" Target="https://developer.mescius.com/spreadjs/demos/features/cells/conditional-format/basic-conditional-format/purejs" Type="http://schemas.openxmlformats.org/officeDocument/2006/relationships/hyperlink" TargetMode="External"/><Relationship Id="rId10" Target="https://developer.mescius.com/spreadjs/demos/features/cells/conditional-format/basic-conditional-format/purejs" Type="http://schemas.openxmlformats.org/officeDocument/2006/relationships/hyperlink" TargetMode="External"/><Relationship Id="rId11" Target="https://developer.mescius.com/spreadjs/demos/features/cells/conditional-format/basic-conditional-format/purejs" Type="http://schemas.openxmlformats.org/officeDocument/2006/relationships/hyperlink" TargetMode="External"/><Relationship Id="rId12" Target="https://developer.mescius.com/spreadjs/demos/features/cells/conditional-format/basic-conditional-format/purejs" Type="http://schemas.openxmlformats.org/officeDocument/2006/relationships/hyperlink" TargetMode="External"/></Relationships>
</file>

<file path=xl/worksheets/_rels/sheet6.xml.rels><?xml version="1.0" encoding="UTF-8" standalone="yes"?>
<Relationships xmlns="http://schemas.openxmlformats.org/package/2006/relationships"><Relationship Id="rId1" Target="https://developer.mescius.com/spreadjs/demos/features/shapes/shape-types/picture-shape/purejs" Type="http://schemas.openxmlformats.org/officeDocument/2006/relationships/hyperlink" TargetMode="External"/><Relationship Id="rId2" Target="https://developer.mescius.com/spreadjs/demos/features/shapes/shape-types/picture-shape/purejs" Type="http://schemas.openxmlformats.org/officeDocument/2006/relationships/hyperlink" TargetMode="External"/><Relationship Id="rId3" Target="https://developer.mescius.com/spreadjs/demos/features/shapes/shape-types/picture-shape/purejs" Type="http://schemas.openxmlformats.org/officeDocument/2006/relationships/hyperlink" TargetMode="External"/><Relationship Id="rId4" Target="https://developer.mescius.com/spreadjs/demos/features/shapes/shape-types/picture-shape/purejs" Type="http://schemas.openxmlformats.org/officeDocument/2006/relationships/hyperlink" TargetMode="External"/><Relationship Id="rId5" Target="https://developer.mescius.com/spreadjs/demos/features/shapes/shape-types/picture-shape/purejs" Type="http://schemas.openxmlformats.org/officeDocument/2006/relationships/hyperlink" TargetMode="External"/><Relationship Id="rId6" Target="https://developer.mescius.com/spreadjs/demos/features/shapes/shape-types/picture-shape/purejs" Type="http://schemas.openxmlformats.org/officeDocument/2006/relationships/hyperlink" TargetMode="External"/><Relationship Id="rId7" Target="https://developer.mescius.com/spreadjs/demos/features/shapes/shape-types/picture-shape/purejs" Type="http://schemas.openxmlformats.org/officeDocument/2006/relationships/hyperlink" TargetMode="External"/><Relationship Id="rId8" Target="https://developer.mescius.com/spreadjs/demos/features/shapes/shape-types/picture-shape/purejs" Type="http://schemas.openxmlformats.org/officeDocument/2006/relationships/hyperlink" TargetMode="External"/><Relationship Id="rId9" Target="https://developer.mescius.com/spreadjs/demos/features/shapes/shape-types/picture-shape/purejs" Type="http://schemas.openxmlformats.org/officeDocument/2006/relationships/hyperlink" TargetMode="External"/><Relationship Id="rId10" Target="https://developer.mescius.com/spreadjs/demos/features/shapes/shape-types/picture-shape/purejs" Type="http://schemas.openxmlformats.org/officeDocument/2006/relationships/hyperlink" TargetMode="External"/><Relationship Id="rId11" Type="http://schemas.openxmlformats.org/officeDocument/2006/relationships/comments" Target="../comments6.xml"/><Relationship Id="rId12" Type="http://schemas.openxmlformats.org/officeDocument/2006/relationships/vmlDrawing" Target="../drawings/vmlDrawing2.vml"/><Relationship Id="rId13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arget="https://developer.mescius.com/spreadjs/demos/features/tables/basic-table/purejs" Type="http://schemas.openxmlformats.org/officeDocument/2006/relationships/hyperlink" TargetMode="External"/><Relationship Id="rId2" Target="https://developer.mescius.com/spreadjs/demos/features/tables/basic-table/purejs" Type="http://schemas.openxmlformats.org/officeDocument/2006/relationships/hyperlink" TargetMode="External"/><Relationship Id="rId3" Target="https://developer.mescius.com/spreadjs/demos/features/tables/basic-table/purejs" Type="http://schemas.openxmlformats.org/officeDocument/2006/relationships/hyperlink" TargetMode="External"/><Relationship Id="rId4" Target="https://developer.mescius.com/spreadjs/demos/features/tables/basic-table/purejs" Type="http://schemas.openxmlformats.org/officeDocument/2006/relationships/hyperlink" TargetMode="External"/><Relationship Id="rId5" Target="https://developer.mescius.com/spreadjs/demos/features/tables/basic-table/purejs" Type="http://schemas.openxmlformats.org/officeDocument/2006/relationships/hyperlink" TargetMode="External"/><Relationship Id="rId6" Target="https://developer.mescius.com/spreadjs/demos/features/tables/basic-table/purejs" Type="http://schemas.openxmlformats.org/officeDocument/2006/relationships/hyperlink" TargetMode="External"/><Relationship Id="rId7" Target="https://developer.mescius.com/spreadjs/demos/features/tables/basic-table/purejs" Type="http://schemas.openxmlformats.org/officeDocument/2006/relationships/hyperlink" TargetMode="External"/><Relationship Id="rId8" Target="https://developer.mescius.com/spreadjs/demos/features/tables/basic-table/purejs" Type="http://schemas.openxmlformats.org/officeDocument/2006/relationships/hyperlink" TargetMode="External"/><Relationship Id="rId9" Target="https://developer.mescius.com/spreadjs/demos/features/tables/basic-table/purejs" Type="http://schemas.openxmlformats.org/officeDocument/2006/relationships/hyperlink" TargetMode="External"/><Relationship Id="rId10" Target="https://developer.mescius.com/spreadjs/demos/features/tables/basic-table/purejs" Type="http://schemas.openxmlformats.org/officeDocument/2006/relationships/hyperlink" TargetMode="External"/><Relationship Id="rId1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arget="https://developer.mescius.com/spreadjs/demos/features/sparklines/basic-sparkline/purejs" Type="http://schemas.openxmlformats.org/officeDocument/2006/relationships/hyperlink" TargetMode="External"/><Relationship Id="rId2" Target="https://developer.mescius.com/spreadjs/demos/features/sparklines/basic-sparkline/purejs" Type="http://schemas.openxmlformats.org/officeDocument/2006/relationships/hyperlink" TargetMode="External"/><Relationship Id="rId3" Target="https://developer.mescius.com/spreadjs/demos/features/sparklines/basic-sparkline/purejs" Type="http://schemas.openxmlformats.org/officeDocument/2006/relationships/hyperlink" TargetMode="External"/><Relationship Id="rId4" Target="https://developer.mescius.com/spreadjs/demos/features/sparklines/basic-sparkline/purejs" Type="http://schemas.openxmlformats.org/officeDocument/2006/relationships/hyperlink" TargetMode="External"/><Relationship Id="rId5" Target="https://developer.mescius.com/spreadjs/demos/features/sparklines/basic-sparkline/purejs" Type="http://schemas.openxmlformats.org/officeDocument/2006/relationships/hyperlink" TargetMode="External"/><Relationship Id="rId6" Target="https://developer.mescius.com/spreadjs/demos/features/sparklines/basic-sparkline/purejs" Type="http://schemas.openxmlformats.org/officeDocument/2006/relationships/hyperlink" TargetMode="External"/></Relationships>
</file>

<file path=xl/worksheets/_rels/sheet9.xml.rels><?xml version="1.0" encoding="UTF-8" standalone="yes"?>
<Relationships xmlns="http://schemas.openxmlformats.org/package/2006/relationships"><Relationship Id="rId1" Target="https://developer.mescius.com/spreadjs/demos/features/charts/basic-chart/purejs" Type="http://schemas.openxmlformats.org/officeDocument/2006/relationships/hyperlink" TargetMode="External"/><Relationship Id="rId2" Target="https://developer.mescius.com/spreadjs/demos/features/charts/basic-chart/purejs" Type="http://schemas.openxmlformats.org/officeDocument/2006/relationships/hyperlink" TargetMode="External"/><Relationship Id="rId3" Target="https://developer.mescius.com/spreadjs/demos/features/charts/basic-chart/purejs" Type="http://schemas.openxmlformats.org/officeDocument/2006/relationships/hyperlink" TargetMode="External"/><Relationship Id="rId4" Target="https://developer.mescius.com/spreadjs/demos/features/charts/basic-chart/purejs" Type="http://schemas.openxmlformats.org/officeDocument/2006/relationships/hyperlink" TargetMode="External"/><Relationship Id="rId5" Target="https://developer.mescius.com/spreadjs/demos/features/charts/basic-chart/purejs" Type="http://schemas.openxmlformats.org/officeDocument/2006/relationships/hyperlink" TargetMode="External"/><Relationship Id="rId6" Target="https://developer.mescius.com/spreadjs/demos/features/charts/basic-chart/purejs" Type="http://schemas.openxmlformats.org/officeDocument/2006/relationships/hyperlink" TargetMode="External"/><Relationship Id="rId7" Target="https://developer.mescius.com/spreadjs/demos/features/charts/basic-chart/purejs" Type="http://schemas.openxmlformats.org/officeDocument/2006/relationships/hyperlink" TargetMode="External"/><Relationship Id="rId8" Target="https://developer.mescius.com/spreadjs/demos/features/charts/basic-chart/purejs" Type="http://schemas.openxmlformats.org/officeDocument/2006/relationships/hyperlink" TargetMode="External"/><Relationship Id="rId9" Target="https://developer.mescius.com/spreadjs/demos/features/charts/basic-chart/purejs" Type="http://schemas.openxmlformats.org/officeDocument/2006/relationships/hyperlink" TargetMode="External"/><Relationship Id="rId10" Target="https://developer.mescius.com/spreadjs/demos/features/charts/basic-chart/purejs" Type="http://schemas.openxmlformats.org/officeDocument/2006/relationships/hyperlink" TargetMode="External"/><Relationship Id="rId11" Target="https://developer.mescius.com/spreadjs/demos/features/charts/basic-chart/purejs" Type="http://schemas.openxmlformats.org/officeDocument/2006/relationships/hyperlink" TargetMode="External"/><Relationship Id="rId12" Target="https://developer.mescius.com/spreadjs/demos/features/charts/basic-chart/purejs" Type="http://schemas.openxmlformats.org/officeDocument/2006/relationships/hyperlink" TargetMode="External"/><Relationship Id="rId13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arget="https://developer.mescius.com/spreadjs/demos/features/cells/bar-codes/basic-barcode/purejs" Type="http://schemas.openxmlformats.org/officeDocument/2006/relationships/hyperlink" TargetMode="External"/><Relationship Id="rId2" Target="https://developer.mescius.com/spreadjs/demos/features/cells/bar-codes/basic-barcode/purejs" Type="http://schemas.openxmlformats.org/officeDocument/2006/relationships/hyperlink" TargetMode="External"/><Relationship Id="rId3" Target="https://developer.mescius.com/spreadjs/demos/features/cells/bar-codes/basic-barcode/purejs" Type="http://schemas.openxmlformats.org/officeDocument/2006/relationships/hyperlink" TargetMode="External"/><Relationship Id="rId4" Target="https://developer.mescius.com/spreadjs/demos/features/cells/bar-codes/basic-barcode/purejs" Type="http://schemas.openxmlformats.org/officeDocument/2006/relationships/hyperlink" TargetMode="External"/><Relationship Id="rId5" Target="https://developer.mescius.com/spreadjs/demos/features/cells/bar-codes/basic-barcode/purejs" Type="http://schemas.openxmlformats.org/officeDocument/2006/relationships/hyperlink" TargetMode="External"/><Relationship Id="rId6" Target="https://developer.mescius.com/spreadjs/demos/features/cells/bar-codes/basic-barcode/purejs" Type="http://schemas.openxmlformats.org/officeDocument/2006/relationships/hyperlink" TargetMode="External"/></Relationships>
</file>

<file path=xl/worksheets/_rels/sheet11.xml.rels><?xml version="1.0" encoding="UTF-8" standalone="yes"?>
<Relationships xmlns="http://schemas.openxmlformats.org/package/2006/relationships"><Relationship Id="rId1" Target="https://developer.mescius.com/spreadjs/demos/features/shapes/overview/purejs" Type="http://schemas.openxmlformats.org/officeDocument/2006/relationships/hyperlink" TargetMode="External"/><Relationship Id="rId2" Target="https://developer.mescius.com/spreadjs/demos/features/shapes/overview/purejs" Type="http://schemas.openxmlformats.org/officeDocument/2006/relationships/hyperlink" TargetMode="External"/><Relationship Id="rId3" Target="https://developer.mescius.com/spreadjs/demos/features/shapes/overview/purejs" Type="http://schemas.openxmlformats.org/officeDocument/2006/relationships/hyperlink" TargetMode="External"/><Relationship Id="rId4" Target="https://developer.mescius.com/spreadjs/demos/features/shapes/overview/purejs" Type="http://schemas.openxmlformats.org/officeDocument/2006/relationships/hyperlink" TargetMode="External"/><Relationship Id="rId5" Target="https://developer.mescius.com/spreadjs/demos/features/shapes/overview/purejs" Type="http://schemas.openxmlformats.org/officeDocument/2006/relationships/hyperlink" TargetMode="External"/><Relationship Id="rId6" Target="https://developer.mescius.com/spreadjs/demos/features/shapes/overview/purejs" Type="http://schemas.openxmlformats.org/officeDocument/2006/relationships/hyperlink" TargetMode="External"/><Relationship Id="rId7" Target="https://developer.mescius.com/spreadjs/demos/features/shapes/overview/purejs" Type="http://schemas.openxmlformats.org/officeDocument/2006/relationships/hyperlink" TargetMode="External"/><Relationship Id="rId8" Target="https://developer.mescius.com/spreadjs/demos/features/shapes/overview/purejs" Type="http://schemas.openxmlformats.org/officeDocument/2006/relationships/hyperlink" TargetMode="External"/><Relationship Id="rId9" Target="https://developer.mescius.com/spreadjs/demos/features/shapes/overview/purejs" Type="http://schemas.openxmlformats.org/officeDocument/2006/relationships/hyperlink" TargetMode="External"/><Relationship Id="rId10" Target="https://developer.mescius.com/spreadjs/demos/features/shapes/overview/purejs" Type="http://schemas.openxmlformats.org/officeDocument/2006/relationships/hyperlink" TargetMode="External"/><Relationship Id="rId1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E432005-28CB-460C-9D95-FDC060DB4D03}" mc:Ignorable="x14ac xr xr2 xr3">
  <dimension ref="A1:Q47"/>
  <sheetViews>
    <sheetView showGridLines="0" topLeftCell="A1" zoomScale="70" workbookViewId="0" tabSelected="1">
      <selection activeCell="B15" sqref="B15:C23"/>
    </sheetView>
  </sheetViews>
  <sheetFormatPr defaultRowHeight="14.25" defaultColWidth="8.8515625" customHeight="1"/>
  <cols>
    <col min="1" max="1" width="2.140625" customWidth="1"/>
    <col min="2" max="2" width="9.421875" customWidth="1"/>
    <col min="3" max="3" width="12.7109375" customWidth="1"/>
    <col min="4" max="4" width="1.8515625" customWidth="1"/>
    <col min="5" max="5" width="3.57421875" customWidth="1"/>
    <col min="6" max="6" width="22.54296875" customWidth="1"/>
    <col min="7" max="7" width="23.01171875" customWidth="1"/>
    <col min="8" max="12" width="17.7734375" customWidth="1"/>
    <col min="13" max="13" style="30" width="3.57421875" customWidth="1"/>
    <col min="14" max="14" width="2.421875" customWidth="1"/>
    <col min="15" max="15" style="30" width="10.57421875" customWidth="1"/>
    <col min="16" max="16" style="30" width="25.421875" customWidth="1"/>
    <col min="17" max="17" style="30" width="3.57421875" customWidth="1"/>
  </cols>
  <sheetData>
    <row r="1" ht="15" customHeight="1">
      <c r="A1" s="1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3"/>
      <c r="G1" s="3"/>
      <c r="H1" s="3"/>
      <c r="I1" s="4"/>
      <c r="J1" s="4"/>
      <c r="K1" s="4"/>
      <c r="L1" s="4"/>
      <c r="M1" s="5"/>
      <c r="N1" s="6"/>
      <c r="O1" s="5"/>
      <c r="P1" s="5"/>
    </row>
    <row r="2" ht="22.5" customHeight="1">
      <c r="A2" s="7" t="s">
        <v>0</v>
      </c>
      <c r="B2" s="7" t="s">
        <v>0</v>
      </c>
      <c r="C2" s="7" t="s">
        <v>0</v>
      </c>
      <c r="D2" s="7" t="s">
        <v>0</v>
      </c>
      <c r="E2" s="7" t="s">
        <v>0</v>
      </c>
      <c r="F2" s="8" t="s">
        <v>1</v>
      </c>
      <c r="G2" s="9"/>
      <c r="H2" s="9"/>
      <c r="I2" s="9"/>
      <c r="J2" s="9"/>
      <c r="K2" s="9"/>
      <c r="L2" s="9"/>
      <c r="M2" s="10"/>
    </row>
    <row r="3" ht="29.25" customHeight="1">
      <c r="B3" s="6"/>
      <c r="C3" s="6"/>
      <c r="D3" s="6"/>
      <c r="E3" s="6"/>
      <c r="F3" s="11"/>
      <c r="G3" s="12"/>
      <c r="H3" s="13">
        <f>AgingDate</f>
        <v>46204</v>
      </c>
      <c r="I3" s="14"/>
      <c r="J3" s="14"/>
      <c r="K3" s="12"/>
      <c r="L3" s="12"/>
      <c r="M3" s="12"/>
      <c r="N3" s="6"/>
      <c r="O3" s="15"/>
      <c r="P3" s="15"/>
    </row>
    <row r="4" ht="15" customHeight="1">
      <c r="B4" s="16"/>
      <c r="C4" s="6"/>
      <c r="D4" s="6"/>
      <c r="E4" s="6"/>
      <c r="F4" s="6"/>
      <c r="G4" s="6"/>
      <c r="H4" s="6"/>
      <c r="I4" s="6"/>
      <c r="J4" s="6"/>
      <c r="K4" s="6"/>
      <c r="L4" s="6"/>
      <c r="M4" s="15"/>
      <c r="N4" s="6"/>
      <c r="O4" s="15"/>
      <c r="P4" s="17"/>
    </row>
    <row r="5" ht="15" customHeight="1">
      <c r="B5" s="16"/>
      <c r="C5" s="6"/>
      <c r="D5" s="6"/>
      <c r="E5" s="6"/>
      <c r="F5" s="18" t="s">
        <v>2</v>
      </c>
      <c r="G5" s="19" t="s">
        <v>3</v>
      </c>
      <c r="H5" s="20"/>
      <c r="I5" s="21"/>
      <c r="J5" s="22" t="s">
        <v>4</v>
      </c>
      <c r="K5" s="23" t="s">
        <v>5</v>
      </c>
      <c r="L5" s="24"/>
      <c r="M5" s="25"/>
      <c r="N5" s="6"/>
      <c r="O5" s="15"/>
      <c r="P5" s="17"/>
    </row>
    <row r="6" ht="14.25" customHeight="1">
      <c r="B6" s="16"/>
      <c r="C6" s="6"/>
      <c r="D6" s="6"/>
      <c r="E6" s="6"/>
      <c r="F6" s="18" t="s">
        <v>6</v>
      </c>
      <c r="G6" s="26" t="s">
        <v>7</v>
      </c>
      <c r="H6" s="26"/>
      <c r="I6" s="21"/>
      <c r="J6" s="22" t="s">
        <v>8</v>
      </c>
      <c r="K6" s="27">
        <f>TODAY()</f>
        <v>46163</v>
      </c>
      <c r="L6" s="24"/>
      <c r="M6" s="25"/>
      <c r="N6" s="6"/>
      <c r="O6" s="15"/>
      <c r="P6" s="17"/>
    </row>
    <row r="7" ht="14.25" customHeight="1">
      <c r="F7" s="18" t="s">
        <v>9</v>
      </c>
      <c r="G7" s="28">
        <f>AgingDate</f>
        <v>46204</v>
      </c>
      <c r="H7" s="29"/>
      <c r="M7" s="30"/>
    </row>
    <row r="8" ht="6.75" customHeight="1">
      <c r="B8" s="31"/>
      <c r="C8" s="3"/>
      <c r="D8" s="3"/>
      <c r="E8" s="3"/>
      <c r="F8" s="3"/>
      <c r="G8" s="32"/>
      <c r="H8" s="3"/>
      <c r="I8" s="3"/>
      <c r="J8" s="3"/>
      <c r="K8" s="3"/>
      <c r="L8" s="3"/>
      <c r="M8" s="33"/>
      <c r="N8" s="3"/>
      <c r="O8" s="33"/>
      <c r="P8" s="34"/>
    </row>
    <row r="9" ht="8.25" customHeight="1"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6"/>
      <c r="N9" s="35"/>
      <c r="O9" s="36"/>
      <c r="P9" s="36"/>
    </row>
    <row r="10" ht="16.5" customHeight="1">
      <c r="B10" s="3"/>
      <c r="C10" s="3"/>
      <c r="D10" s="35"/>
      <c r="F10" s="37"/>
      <c r="G10" s="37"/>
      <c r="H10" s="38"/>
      <c r="I10" s="38"/>
      <c r="J10" s="38"/>
      <c r="K10" s="39"/>
      <c r="L10" s="39"/>
      <c r="M10" s="40"/>
      <c r="N10" s="35"/>
      <c r="O10" s="33"/>
      <c r="P10" s="33"/>
    </row>
    <row r="11" ht="25.5" customHeight="1">
      <c r="B11" s="41">
        <f>AgingDate</f>
        <v>46204</v>
      </c>
      <c r="C11" s="41"/>
      <c r="D11" s="35"/>
      <c r="F11" s="93" t="s">
        <v>10</v>
      </c>
      <c r="G11" s="93" t="s">
        <v>11</v>
      </c>
      <c r="H11" s="93" t="s">
        <v>12</v>
      </c>
      <c r="I11" s="93" t="s">
        <v>13</v>
      </c>
      <c r="J11" s="93" t="s">
        <v>14</v>
      </c>
      <c r="K11" s="93" t="s">
        <v>15</v>
      </c>
      <c r="L11" s="93" t="s">
        <v>16</v>
      </c>
      <c r="M11" s="43"/>
      <c r="N11" s="35"/>
      <c r="O11" s="34"/>
      <c r="P11" s="34"/>
    </row>
    <row r="12" ht="16.5" customHeight="1">
      <c r="B12" s="41"/>
      <c r="C12" s="41"/>
      <c r="D12" s="35"/>
      <c r="F12" s="95" t="s">
        <v>17</v>
      </c>
      <c r="G12" s="100">
        <f>SUM(tblAging[[#This Row],[Current]:[Over 90 Days]])</f>
        <v>1712</v>
      </c>
      <c r="H12" s="100">
        <f>_xlfn.SUMIFS(tblInvoices[Current],tblInvoices[CustomerName],tblAging[[#This Row],[Customer]])</f>
        <v>856</v>
      </c>
      <c r="I12" s="100">
        <f>_xlfn.SUMIFS(tblInvoices[1 to 30 Days],tblInvoices[CustomerName],tblAging[[#This Row],[Customer]])</f>
        <v>542</v>
      </c>
      <c r="J12" s="100">
        <f>_xlfn.SUMIFS(tblInvoices[31 to 60 Days],tblInvoices[CustomerName],tblAging[[#This Row],[Customer]])</f>
        <v>314</v>
      </c>
      <c r="K12" s="100">
        <f>_xlfn.SUMIFS(tblInvoices[61 to 90 Days],tblInvoices[CustomerName],tblAging[[#This Row],[Customer]])</f>
        <v>0</v>
      </c>
      <c r="L12" s="100">
        <f>_xlfn.SUMIFS(tblInvoices[Over 90 Days],tblInvoices[CustomerName],tblAging[[#This Row],[Customer]])</f>
        <v>0</v>
      </c>
      <c r="M12" s="46"/>
      <c r="N12" s="35"/>
      <c r="O12" s="34"/>
      <c r="P12" s="34"/>
    </row>
    <row r="13" ht="16.5" customHeight="1">
      <c r="B13" s="47" t="s">
        <v>9</v>
      </c>
      <c r="C13" s="48"/>
      <c r="D13" s="35"/>
      <c r="F13" s="96" t="s">
        <v>18</v>
      </c>
      <c r="G13" s="101">
        <f>SUM(tblAging[[#This Row],[Current]:[Over 90 Days]])</f>
        <v>1902</v>
      </c>
      <c r="H13" s="101">
        <f>_xlfn.SUMIFS(tblInvoices[Current],tblInvoices[CustomerName],tblAging[[#This Row],[Customer]])</f>
        <v>951</v>
      </c>
      <c r="I13" s="101">
        <f>_xlfn.SUMIFS(tblInvoices[1 to 30 Days],tblInvoices[CustomerName],tblAging[[#This Row],[Customer]])</f>
        <v>376</v>
      </c>
      <c r="J13" s="101">
        <f>_xlfn.SUMIFS(tblInvoices[31 to 60 Days],tblInvoices[CustomerName],tblAging[[#This Row],[Customer]])</f>
        <v>575</v>
      </c>
      <c r="K13" s="101">
        <f>_xlfn.SUMIFS(tblInvoices[61 to 90 Days],tblInvoices[CustomerName],tblAging[[#This Row],[Customer]])</f>
        <v>0</v>
      </c>
      <c r="L13" s="101">
        <f>_xlfn.SUMIFS(tblInvoices[Over 90 Days],tblInvoices[CustomerName],tblAging[[#This Row],[Customer]])</f>
        <v>0</v>
      </c>
      <c r="M13" s="46"/>
      <c r="N13" s="35"/>
      <c r="O13" s="34"/>
      <c r="P13" s="34"/>
    </row>
    <row r="14" ht="16.5" customHeight="1">
      <c r="B14" s="51"/>
      <c r="C14" s="52"/>
      <c r="D14" s="35"/>
      <c r="F14" s="97" t="s">
        <v>19</v>
      </c>
      <c r="G14" s="102">
        <f>SUM(tblAging[[#This Row],[Current]:[Over 90 Days]])</f>
        <v>5242</v>
      </c>
      <c r="H14" s="102">
        <f>_xlfn.SUMIFS(tblInvoices[Current],tblInvoices[CustomerName],tblAging[[#This Row],[Customer]])</f>
        <v>2621</v>
      </c>
      <c r="I14" s="102">
        <f>_xlfn.SUMIFS(tblInvoices[1 to 30 Days],tblInvoices[CustomerName],tblAging[[#This Row],[Customer]])</f>
        <v>1823</v>
      </c>
      <c r="J14" s="102">
        <f>_xlfn.SUMIFS(tblInvoices[31 to 60 Days],tblInvoices[CustomerName],tblAging[[#This Row],[Customer]])</f>
        <v>798</v>
      </c>
      <c r="K14" s="102">
        <f>_xlfn.SUMIFS(tblInvoices[61 to 90 Days],tblInvoices[CustomerName],tblAging[[#This Row],[Customer]])</f>
        <v>0</v>
      </c>
      <c r="L14" s="102">
        <f>_xlfn.SUMIFS(tblInvoices[Over 90 Days],tblInvoices[CustomerName],tblAging[[#This Row],[Customer]])</f>
        <v>0</v>
      </c>
      <c r="M14" s="46"/>
      <c r="N14" s="35"/>
      <c r="O14" s="34"/>
      <c r="P14" s="34"/>
    </row>
    <row r="15" ht="16.5" customHeight="1">
      <c r="B15" s="53">
        <v>0</v>
      </c>
      <c r="C15" s="54"/>
      <c r="D15" s="35"/>
      <c r="F15" s="96" t="s">
        <v>20</v>
      </c>
      <c r="G15" s="101">
        <f>SUM(tblAging[[#This Row],[Current]:[Over 90 Days]])</f>
        <v>1776</v>
      </c>
      <c r="H15" s="101">
        <f>_xlfn.SUMIFS(tblInvoices[Current],tblInvoices[CustomerName],tblAging[[#This Row],[Customer]])</f>
        <v>888</v>
      </c>
      <c r="I15" s="101">
        <f>_xlfn.SUMIFS(tblInvoices[1 to 30 Days],tblInvoices[CustomerName],tblAging[[#This Row],[Customer]])</f>
        <v>888</v>
      </c>
      <c r="J15" s="101">
        <f>_xlfn.SUMIFS(tblInvoices[31 to 60 Days],tblInvoices[CustomerName],tblAging[[#This Row],[Customer]])</f>
        <v>0</v>
      </c>
      <c r="K15" s="101">
        <f>_xlfn.SUMIFS(tblInvoices[61 to 90 Days],tblInvoices[CustomerName],tblAging[[#This Row],[Customer]])</f>
        <v>0</v>
      </c>
      <c r="L15" s="101">
        <f>_xlfn.SUMIFS(tblInvoices[Over 90 Days],tblInvoices[CustomerName],tblAging[[#This Row],[Customer]])</f>
        <v>0</v>
      </c>
      <c r="M15" s="46"/>
      <c r="N15" s="35"/>
      <c r="O15" s="34"/>
      <c r="P15" s="34"/>
    </row>
    <row r="16" ht="16.5" customHeight="1">
      <c r="B16" s="55"/>
      <c r="C16" s="56"/>
      <c r="D16" s="35"/>
      <c r="F16" s="97" t="s">
        <v>21</v>
      </c>
      <c r="G16" s="102">
        <f>SUM(tblAging[[#This Row],[Current]:[Over 90 Days]])</f>
        <v>2850</v>
      </c>
      <c r="H16" s="102">
        <f>_xlfn.SUMIFS(tblInvoices[Current],tblInvoices[CustomerName],tblAging[[#This Row],[Customer]])</f>
        <v>1425</v>
      </c>
      <c r="I16" s="102">
        <f>_xlfn.SUMIFS(tblInvoices[1 to 30 Days],tblInvoices[CustomerName],tblAging[[#This Row],[Customer]])</f>
        <v>767</v>
      </c>
      <c r="J16" s="102">
        <f>_xlfn.SUMIFS(tblInvoices[31 to 60 Days],tblInvoices[CustomerName],tblAging[[#This Row],[Customer]])</f>
        <v>658</v>
      </c>
      <c r="K16" s="102">
        <f>_xlfn.SUMIFS(tblInvoices[61 to 90 Days],tblInvoices[CustomerName],tblAging[[#This Row],[Customer]])</f>
        <v>0</v>
      </c>
      <c r="L16" s="102">
        <f>_xlfn.SUMIFS(tblInvoices[Over 90 Days],tblInvoices[CustomerName],tblAging[[#This Row],[Customer]])</f>
        <v>0</v>
      </c>
      <c r="M16" s="46"/>
      <c r="N16" s="35"/>
      <c r="O16" s="34"/>
      <c r="P16" s="34"/>
    </row>
    <row r="17" ht="16.5" customHeight="1">
      <c r="B17" s="55"/>
      <c r="C17" s="56"/>
      <c r="D17" s="35"/>
      <c r="F17" s="96" t="s">
        <v>22</v>
      </c>
      <c r="G17" s="101">
        <f>SUM(tblAging[[#This Row],[Current]:[Over 90 Days]])</f>
        <v>834</v>
      </c>
      <c r="H17" s="101">
        <f>_xlfn.SUMIFS(tblInvoices[Current],tblInvoices[CustomerName],tblAging[[#This Row],[Customer]])</f>
        <v>417</v>
      </c>
      <c r="I17" s="101">
        <f>_xlfn.SUMIFS(tblInvoices[1 to 30 Days],tblInvoices[CustomerName],tblAging[[#This Row],[Customer]])</f>
        <v>0</v>
      </c>
      <c r="J17" s="101">
        <f>_xlfn.SUMIFS(tblInvoices[31 to 60 Days],tblInvoices[CustomerName],tblAging[[#This Row],[Customer]])</f>
        <v>0</v>
      </c>
      <c r="K17" s="101">
        <f>_xlfn.SUMIFS(tblInvoices[61 to 90 Days],tblInvoices[CustomerName],tblAging[[#This Row],[Customer]])</f>
        <v>0</v>
      </c>
      <c r="L17" s="101">
        <f>_xlfn.SUMIFS(tblInvoices[Over 90 Days],tblInvoices[CustomerName],tblAging[[#This Row],[Customer]])</f>
        <v>417</v>
      </c>
      <c r="M17" s="46"/>
      <c r="N17" s="35"/>
      <c r="O17" s="34"/>
      <c r="P17" s="34"/>
    </row>
    <row r="18" ht="16.5" customHeight="1">
      <c r="B18" s="55"/>
      <c r="C18" s="56"/>
      <c r="D18" s="35"/>
      <c r="F18" s="97" t="s">
        <v>23</v>
      </c>
      <c r="G18" s="102">
        <f>SUM(tblAging[[#This Row],[Current]:[Over 90 Days]])</f>
        <v>2614</v>
      </c>
      <c r="H18" s="102">
        <f>_xlfn.SUMIFS(tblInvoices[Current],tblInvoices[CustomerName],tblAging[[#This Row],[Customer]])</f>
        <v>1307</v>
      </c>
      <c r="I18" s="102">
        <f>_xlfn.SUMIFS(tblInvoices[1 to 30 Days],tblInvoices[CustomerName],tblAging[[#This Row],[Customer]])</f>
        <v>0</v>
      </c>
      <c r="J18" s="102">
        <f>_xlfn.SUMIFS(tblInvoices[31 to 60 Days],tblInvoices[CustomerName],tblAging[[#This Row],[Customer]])</f>
        <v>836</v>
      </c>
      <c r="K18" s="102">
        <f>_xlfn.SUMIFS(tblInvoices[61 to 90 Days],tblInvoices[CustomerName],tblAging[[#This Row],[Customer]])</f>
        <v>471</v>
      </c>
      <c r="L18" s="102">
        <f>_xlfn.SUMIFS(tblInvoices[Over 90 Days],tblInvoices[CustomerName],tblAging[[#This Row],[Customer]])</f>
        <v>0</v>
      </c>
      <c r="M18" s="46"/>
      <c r="N18" s="35"/>
      <c r="O18" s="34"/>
      <c r="P18" s="34"/>
    </row>
    <row r="19" ht="16.5" customHeight="1">
      <c r="B19" s="55"/>
      <c r="C19" s="56"/>
      <c r="D19" s="35"/>
      <c r="F19" s="96" t="s">
        <v>24</v>
      </c>
      <c r="G19" s="101">
        <f>SUM(tblAging[[#This Row],[Current]:[Over 90 Days]])</f>
        <v>7822</v>
      </c>
      <c r="H19" s="101">
        <f>_xlfn.SUMIFS(tblInvoices[Current],tblInvoices[CustomerName],tblAging[[#This Row],[Customer]])</f>
        <v>3911</v>
      </c>
      <c r="I19" s="101">
        <f>_xlfn.SUMIFS(tblInvoices[1 to 30 Days],tblInvoices[CustomerName],tblAging[[#This Row],[Customer]])</f>
        <v>754</v>
      </c>
      <c r="J19" s="101">
        <f>_xlfn.SUMIFS(tblInvoices[31 to 60 Days],tblInvoices[CustomerName],tblAging[[#This Row],[Customer]])</f>
        <v>1565</v>
      </c>
      <c r="K19" s="101">
        <f>_xlfn.SUMIFS(tblInvoices[61 to 90 Days],tblInvoices[CustomerName],tblAging[[#This Row],[Customer]])</f>
        <v>1592</v>
      </c>
      <c r="L19" s="101">
        <f>_xlfn.SUMIFS(tblInvoices[Over 90 Days],tblInvoices[CustomerName],tblAging[[#This Row],[Customer]])</f>
        <v>0</v>
      </c>
      <c r="M19" s="46"/>
      <c r="N19" s="35"/>
      <c r="O19" s="34"/>
      <c r="P19" s="34"/>
    </row>
    <row r="20" ht="16.5" customHeight="1">
      <c r="B20" s="55"/>
      <c r="C20" s="56"/>
      <c r="D20" s="35"/>
      <c r="F20" s="97" t="s">
        <v>25</v>
      </c>
      <c r="G20" s="102">
        <f>SUM(tblAging[[#This Row],[Current]:[Over 90 Days]])</f>
        <v>7874</v>
      </c>
      <c r="H20" s="102">
        <f>_xlfn.SUMIFS(tblInvoices[Current],tblInvoices[CustomerName],tblAging[[#This Row],[Customer]])</f>
        <v>3937</v>
      </c>
      <c r="I20" s="102">
        <f>_xlfn.SUMIFS(tblInvoices[1 to 30 Days],tblInvoices[CustomerName],tblAging[[#This Row],[Customer]])</f>
        <v>858</v>
      </c>
      <c r="J20" s="102">
        <f>_xlfn.SUMIFS(tblInvoices[31 to 60 Days],tblInvoices[CustomerName],tblAging[[#This Row],[Customer]])</f>
        <v>1872</v>
      </c>
      <c r="K20" s="102">
        <f>_xlfn.SUMIFS(tblInvoices[61 to 90 Days],tblInvoices[CustomerName],tblAging[[#This Row],[Customer]])</f>
        <v>374</v>
      </c>
      <c r="L20" s="102">
        <f>_xlfn.SUMIFS(tblInvoices[Over 90 Days],tblInvoices[CustomerName],tblAging[[#This Row],[Customer]])</f>
        <v>833</v>
      </c>
      <c r="M20" s="46"/>
      <c r="N20" s="35"/>
      <c r="O20" s="34"/>
      <c r="P20" s="34"/>
    </row>
    <row r="21" ht="16.5" customHeight="1">
      <c r="B21" s="55"/>
      <c r="C21" s="56"/>
      <c r="D21" s="35"/>
      <c r="F21" s="96" t="s">
        <v>26</v>
      </c>
      <c r="G21" s="101">
        <f>SUM(tblAging[[#This Row],[Current]:[Over 90 Days]])</f>
        <v>4904</v>
      </c>
      <c r="H21" s="101">
        <f>_xlfn.SUMIFS(tblInvoices[Current],tblInvoices[CustomerName],tblAging[[#This Row],[Customer]])</f>
        <v>2452</v>
      </c>
      <c r="I21" s="101">
        <f>_xlfn.SUMIFS(tblInvoices[1 to 30 Days],tblInvoices[CustomerName],tblAging[[#This Row],[Customer]])</f>
        <v>889</v>
      </c>
      <c r="J21" s="101">
        <f>_xlfn.SUMIFS(tblInvoices[31 to 60 Days],tblInvoices[CustomerName],tblAging[[#This Row],[Customer]])</f>
        <v>950</v>
      </c>
      <c r="K21" s="101">
        <f>_xlfn.SUMIFS(tblInvoices[61 to 90 Days],tblInvoices[CustomerName],tblAging[[#This Row],[Customer]])</f>
        <v>0</v>
      </c>
      <c r="L21" s="101">
        <f>_xlfn.SUMIFS(tblInvoices[Over 90 Days],tblInvoices[CustomerName],tblAging[[#This Row],[Customer]])</f>
        <v>613</v>
      </c>
      <c r="M21" s="46"/>
      <c r="N21" s="35"/>
      <c r="O21" s="34"/>
      <c r="P21" s="34"/>
    </row>
    <row r="22" ht="16.5" customHeight="1">
      <c r="B22" s="55"/>
      <c r="C22" s="56"/>
      <c r="D22" s="35"/>
      <c r="F22" s="97" t="s">
        <v>27</v>
      </c>
      <c r="G22" s="102">
        <f>SUM(tblAging[[#This Row],[Current]:[Over 90 Days]])</f>
        <v>3956</v>
      </c>
      <c r="H22" s="102">
        <f>_xlfn.SUMIFS(tblInvoices[Current],tblInvoices[CustomerName],tblAging[[#This Row],[Customer]])</f>
        <v>1978</v>
      </c>
      <c r="I22" s="102">
        <f>_xlfn.SUMIFS(tblInvoices[1 to 30 Days],tblInvoices[CustomerName],tblAging[[#This Row],[Customer]])</f>
        <v>682</v>
      </c>
      <c r="J22" s="102">
        <f>_xlfn.SUMIFS(tblInvoices[31 to 60 Days],tblInvoices[CustomerName],tblAging[[#This Row],[Customer]])</f>
        <v>1296</v>
      </c>
      <c r="K22" s="102">
        <f>_xlfn.SUMIFS(tblInvoices[61 to 90 Days],tblInvoices[CustomerName],tblAging[[#This Row],[Customer]])</f>
        <v>0</v>
      </c>
      <c r="L22" s="102">
        <f>_xlfn.SUMIFS(tblInvoices[Over 90 Days],tblInvoices[CustomerName],tblAging[[#This Row],[Customer]])</f>
        <v>0</v>
      </c>
      <c r="M22" s="46"/>
      <c r="N22" s="35"/>
      <c r="O22" s="34"/>
      <c r="P22" s="34"/>
    </row>
    <row r="23" ht="16.5" customHeight="1">
      <c r="B23" s="57"/>
      <c r="C23" s="58"/>
      <c r="D23" s="35"/>
      <c r="F23" s="96" t="s">
        <v>28</v>
      </c>
      <c r="G23" s="101">
        <f>SUM(tblAging[[#This Row],[Current]:[Over 90 Days]])</f>
        <v>3414</v>
      </c>
      <c r="H23" s="101">
        <f>_xlfn.SUMIFS(tblInvoices[Current],tblInvoices[CustomerName],tblAging[[#This Row],[Customer]])</f>
        <v>1707</v>
      </c>
      <c r="I23" s="101">
        <f>_xlfn.SUMIFS(tblInvoices[1 to 30 Days],tblInvoices[CustomerName],tblAging[[#This Row],[Customer]])</f>
        <v>867</v>
      </c>
      <c r="J23" s="101">
        <f>_xlfn.SUMIFS(tblInvoices[31 to 60 Days],tblInvoices[CustomerName],tblAging[[#This Row],[Customer]])</f>
        <v>444</v>
      </c>
      <c r="K23" s="101">
        <f>_xlfn.SUMIFS(tblInvoices[61 to 90 Days],tblInvoices[CustomerName],tblAging[[#This Row],[Customer]])</f>
        <v>396</v>
      </c>
      <c r="L23" s="101">
        <f>_xlfn.SUMIFS(tblInvoices[Over 90 Days],tblInvoices[CustomerName],tblAging[[#This Row],[Customer]])</f>
        <v>0</v>
      </c>
      <c r="M23" s="46"/>
      <c r="N23" s="35"/>
      <c r="O23" s="34"/>
      <c r="P23" s="34"/>
    </row>
    <row r="24" ht="16.5" customHeight="1">
      <c r="B24" s="59"/>
      <c r="C24" s="59"/>
      <c r="D24" s="35"/>
      <c r="F24" s="97" t="s">
        <v>29</v>
      </c>
      <c r="G24" s="102">
        <f>SUM(tblAging[[#This Row],[Current]:[Over 90 Days]])</f>
        <v>3182</v>
      </c>
      <c r="H24" s="102">
        <f>_xlfn.SUMIFS(tblInvoices[Current],tblInvoices[CustomerName],tblAging[[#This Row],[Customer]])</f>
        <v>1591</v>
      </c>
      <c r="I24" s="102">
        <f>_xlfn.SUMIFS(tblInvoices[1 to 30 Days],tblInvoices[CustomerName],tblAging[[#This Row],[Customer]])</f>
        <v>654</v>
      </c>
      <c r="J24" s="102">
        <f>_xlfn.SUMIFS(tblInvoices[31 to 60 Days],tblInvoices[CustomerName],tblAging[[#This Row],[Customer]])</f>
        <v>937</v>
      </c>
      <c r="K24" s="102">
        <f>_xlfn.SUMIFS(tblInvoices[61 to 90 Days],tblInvoices[CustomerName],tblAging[[#This Row],[Customer]])</f>
        <v>0</v>
      </c>
      <c r="L24" s="102">
        <f>_xlfn.SUMIFS(tblInvoices[Over 90 Days],tblInvoices[CustomerName],tblAging[[#This Row],[Customer]])</f>
        <v>0</v>
      </c>
      <c r="M24" s="46"/>
      <c r="N24" s="35"/>
      <c r="O24" s="60">
        <f>tblAging[[#Totals],[Current]]/tblAging[[#Totals],[Total Outstanding]]</f>
        <v>0.5</v>
      </c>
      <c r="P24" s="61">
        <f>tblAging[[#Totals],[Current]]</f>
        <v>56405</v>
      </c>
    </row>
    <row r="25" ht="16.5" customHeight="1">
      <c r="B25" s="62">
        <f>tblAging[[#Totals],[Total Outstanding]]</f>
        <v>112810</v>
      </c>
      <c r="C25" s="63"/>
      <c r="D25" s="35"/>
      <c r="F25" s="96" t="s">
        <v>30</v>
      </c>
      <c r="G25" s="101">
        <f>SUM(tblAging[[#This Row],[Current]:[Over 90 Days]])</f>
        <v>3366</v>
      </c>
      <c r="H25" s="101">
        <f>_xlfn.SUMIFS(tblInvoices[Current],tblInvoices[CustomerName],tblAging[[#This Row],[Customer]])</f>
        <v>1683</v>
      </c>
      <c r="I25" s="101">
        <f>_xlfn.SUMIFS(tblInvoices[1 to 30 Days],tblInvoices[CustomerName],tblAging[[#This Row],[Customer]])</f>
        <v>1683</v>
      </c>
      <c r="J25" s="101">
        <f>_xlfn.SUMIFS(tblInvoices[31 to 60 Days],tblInvoices[CustomerName],tblAging[[#This Row],[Customer]])</f>
        <v>0</v>
      </c>
      <c r="K25" s="101">
        <f>_xlfn.SUMIFS(tblInvoices[61 to 90 Days],tblInvoices[CustomerName],tblAging[[#This Row],[Customer]])</f>
        <v>0</v>
      </c>
      <c r="L25" s="101">
        <f>_xlfn.SUMIFS(tblInvoices[Over 90 Days],tblInvoices[CustomerName],tblAging[[#This Row],[Customer]])</f>
        <v>0</v>
      </c>
      <c r="M25" s="46"/>
      <c r="N25" s="35"/>
      <c r="O25" s="60"/>
      <c r="P25" s="64" t="s">
        <v>12</v>
      </c>
    </row>
    <row r="26" ht="16.5" customHeight="1">
      <c r="B26" s="65"/>
      <c r="C26" s="66"/>
      <c r="D26" s="35"/>
      <c r="F26" s="97" t="s">
        <v>31</v>
      </c>
      <c r="G26" s="102">
        <f>SUM(tblAging[[#This Row],[Current]:[Over 90 Days]])</f>
        <v>3630</v>
      </c>
      <c r="H26" s="102">
        <f>_xlfn.SUMIFS(tblInvoices[Current],tblInvoices[CustomerName],tblAging[[#This Row],[Customer]])</f>
        <v>1815</v>
      </c>
      <c r="I26" s="102">
        <f>_xlfn.SUMIFS(tblInvoices[1 to 30 Days],tblInvoices[CustomerName],tblAging[[#This Row],[Customer]])</f>
        <v>1815</v>
      </c>
      <c r="J26" s="102">
        <f>_xlfn.SUMIFS(tblInvoices[31 to 60 Days],tblInvoices[CustomerName],tblAging[[#This Row],[Customer]])</f>
        <v>0</v>
      </c>
      <c r="K26" s="102">
        <f>_xlfn.SUMIFS(tblInvoices[61 to 90 Days],tblInvoices[CustomerName],tblAging[[#This Row],[Customer]])</f>
        <v>0</v>
      </c>
      <c r="L26" s="102">
        <f>_xlfn.SUMIFS(tblInvoices[Over 90 Days],tblInvoices[CustomerName],tblAging[[#This Row],[Customer]])</f>
        <v>0</v>
      </c>
      <c r="M26" s="46"/>
      <c r="N26" s="35"/>
      <c r="O26" s="67">
        <f>tblAging[[#Totals],[1 to 30 Days]]/tblAging[[#Totals],[Total Outstanding]]</f>
        <v>0.200611647903555</v>
      </c>
      <c r="P26" s="61">
        <f>tblAging[[#Totals],[1 to 30 Days]]</f>
        <v>22631</v>
      </c>
    </row>
    <row r="27" ht="16.5" customHeight="1">
      <c r="B27" s="68" t="s">
        <v>11</v>
      </c>
      <c r="C27" s="69"/>
      <c r="D27" s="35"/>
      <c r="F27" s="96" t="s">
        <v>32</v>
      </c>
      <c r="G27" s="101">
        <f>SUM(tblAging[[#This Row],[Current]:[Over 90 Days]])</f>
        <v>2736</v>
      </c>
      <c r="H27" s="101">
        <f>_xlfn.SUMIFS(tblInvoices[Current],tblInvoices[CustomerName],tblAging[[#This Row],[Customer]])</f>
        <v>1368</v>
      </c>
      <c r="I27" s="101">
        <f>_xlfn.SUMIFS(tblInvoices[1 to 30 Days],tblInvoices[CustomerName],tblAging[[#This Row],[Customer]])</f>
        <v>714</v>
      </c>
      <c r="J27" s="101">
        <f>_xlfn.SUMIFS(tblInvoices[31 to 60 Days],tblInvoices[CustomerName],tblAging[[#This Row],[Customer]])</f>
        <v>654</v>
      </c>
      <c r="K27" s="101">
        <f>_xlfn.SUMIFS(tblInvoices[61 to 90 Days],tblInvoices[CustomerName],tblAging[[#This Row],[Customer]])</f>
        <v>0</v>
      </c>
      <c r="L27" s="101">
        <f>_xlfn.SUMIFS(tblInvoices[Over 90 Days],tblInvoices[CustomerName],tblAging[[#This Row],[Customer]])</f>
        <v>0</v>
      </c>
      <c r="M27" s="46"/>
      <c r="N27" s="35"/>
      <c r="O27" s="67"/>
      <c r="P27" s="70" t="s">
        <v>33</v>
      </c>
    </row>
    <row r="28" ht="16.5" customHeight="1">
      <c r="D28" s="35"/>
      <c r="F28" s="97" t="s">
        <v>34</v>
      </c>
      <c r="G28" s="102">
        <f>SUM(tblAging[[#This Row],[Current]:[Over 90 Days]])</f>
        <v>2592</v>
      </c>
      <c r="H28" s="102">
        <f>_xlfn.SUMIFS(tblInvoices[Current],tblInvoices[CustomerName],tblAging[[#This Row],[Customer]])</f>
        <v>1296</v>
      </c>
      <c r="I28" s="102">
        <f>_xlfn.SUMIFS(tblInvoices[1 to 30 Days],tblInvoices[CustomerName],tblAging[[#This Row],[Customer]])</f>
        <v>0</v>
      </c>
      <c r="J28" s="102">
        <f>_xlfn.SUMIFS(tblInvoices[31 to 60 Days],tblInvoices[CustomerName],tblAging[[#This Row],[Customer]])</f>
        <v>778</v>
      </c>
      <c r="K28" s="102">
        <f>_xlfn.SUMIFS(tblInvoices[61 to 90 Days],tblInvoices[CustomerName],tblAging[[#This Row],[Customer]])</f>
        <v>518</v>
      </c>
      <c r="L28" s="102">
        <f>_xlfn.SUMIFS(tblInvoices[Over 90 Days],tblInvoices[CustomerName],tblAging[[#This Row],[Customer]])</f>
        <v>0</v>
      </c>
      <c r="M28" s="46"/>
      <c r="N28" s="35"/>
      <c r="O28" s="71">
        <f>tblAging[[#Totals],[31 to 60 Days]]/tblAging[[#Totals],[Total Outstanding]]</f>
        <v>0.189061253434979</v>
      </c>
      <c r="P28" s="72">
        <f>tblAging[[#Totals],[31 to 60 Days]]</f>
        <v>21328</v>
      </c>
    </row>
    <row r="29" ht="16.5" customHeight="1">
      <c r="B29" s="73">
        <f>SUM(tblAging[[#Totals],[1 to 30 Days]:[Over 90 Days]])</f>
        <v>56405</v>
      </c>
      <c r="C29" s="74"/>
      <c r="D29" s="35"/>
      <c r="F29" s="96" t="s">
        <v>35</v>
      </c>
      <c r="G29" s="101">
        <f>SUM(tblAging[[#This Row],[Current]:[Over 90 Days]])</f>
        <v>2572</v>
      </c>
      <c r="H29" s="101">
        <f>_xlfn.SUMIFS(tblInvoices[Current],tblInvoices[CustomerName],tblAging[[#This Row],[Customer]])</f>
        <v>1286</v>
      </c>
      <c r="I29" s="101">
        <f>_xlfn.SUMIFS(tblInvoices[1 to 30 Days],tblInvoices[CustomerName],tblAging[[#This Row],[Customer]])</f>
        <v>841</v>
      </c>
      <c r="J29" s="101">
        <f>_xlfn.SUMIFS(tblInvoices[31 to 60 Days],tblInvoices[CustomerName],tblAging[[#This Row],[Customer]])</f>
        <v>0</v>
      </c>
      <c r="K29" s="101">
        <f>_xlfn.SUMIFS(tblInvoices[61 to 90 Days],tblInvoices[CustomerName],tblAging[[#This Row],[Customer]])</f>
        <v>445</v>
      </c>
      <c r="L29" s="101">
        <f>_xlfn.SUMIFS(tblInvoices[Over 90 Days],tblInvoices[CustomerName],tblAging[[#This Row],[Customer]])</f>
        <v>0</v>
      </c>
      <c r="M29" s="46"/>
      <c r="N29" s="35"/>
      <c r="O29" s="71"/>
      <c r="P29" s="75" t="s">
        <v>36</v>
      </c>
    </row>
    <row r="30" ht="16.5" customHeight="1" hidden="1">
      <c r="B30" s="76"/>
      <c r="C30" s="77"/>
      <c r="D30" s="35"/>
      <c r="F30" s="97" t="s">
        <v>37</v>
      </c>
      <c r="G30" s="102">
        <f>SUM(tblAging[[#This Row],[Current]:[Over 90 Days]])</f>
        <v>1774</v>
      </c>
      <c r="H30" s="102">
        <f>_xlfn.SUMIFS(tblInvoices[Current],tblInvoices[CustomerName],tblAging[[#This Row],[Customer]])</f>
        <v>887</v>
      </c>
      <c r="I30" s="102">
        <f>_xlfn.SUMIFS(tblInvoices[1 to 30 Days],tblInvoices[CustomerName],tblAging[[#This Row],[Customer]])</f>
        <v>0</v>
      </c>
      <c r="J30" s="102">
        <f>_xlfn.SUMIFS(tblInvoices[31 to 60 Days],tblInvoices[CustomerName],tblAging[[#This Row],[Customer]])</f>
        <v>0</v>
      </c>
      <c r="K30" s="102">
        <f>_xlfn.SUMIFS(tblInvoices[61 to 90 Days],tblInvoices[CustomerName],tblAging[[#This Row],[Customer]])</f>
        <v>887</v>
      </c>
      <c r="L30" s="102">
        <f>_xlfn.SUMIFS(tblInvoices[Over 90 Days],tblInvoices[CustomerName],tblAging[[#This Row],[Customer]])</f>
        <v>0</v>
      </c>
      <c r="M30" s="46"/>
      <c r="N30" s="35"/>
      <c r="O30" s="78"/>
      <c r="P30" s="79"/>
    </row>
    <row r="31" ht="16.5" customHeight="1" hidden="1">
      <c r="B31" s="76"/>
      <c r="C31" s="77"/>
      <c r="D31" s="35"/>
      <c r="F31" s="97" t="s">
        <v>38</v>
      </c>
      <c r="G31" s="102">
        <f>SUM(tblAging[[#This Row],[Current]:[Over 90 Days]])</f>
        <v>1474</v>
      </c>
      <c r="H31" s="102">
        <f>_xlfn.SUMIFS(tblInvoices[Current],tblInvoices[CustomerName],tblAging[[#This Row],[Customer]])</f>
        <v>737</v>
      </c>
      <c r="I31" s="102">
        <f>_xlfn.SUMIFS(tblInvoices[1 to 30 Days],tblInvoices[CustomerName],tblAging[[#This Row],[Customer]])</f>
        <v>0</v>
      </c>
      <c r="J31" s="102">
        <f>_xlfn.SUMIFS(tblInvoices[31 to 60 Days],tblInvoices[CustomerName],tblAging[[#This Row],[Customer]])</f>
        <v>0</v>
      </c>
      <c r="K31" s="102">
        <f>_xlfn.SUMIFS(tblInvoices[61 to 90 Days],tblInvoices[CustomerName],tblAging[[#This Row],[Customer]])</f>
        <v>0</v>
      </c>
      <c r="L31" s="102">
        <f>_xlfn.SUMIFS(tblInvoices[Over 90 Days],tblInvoices[CustomerName],tblAging[[#This Row],[Customer]])</f>
        <v>737</v>
      </c>
      <c r="M31" s="46"/>
      <c r="N31" s="35"/>
      <c r="O31" s="78"/>
      <c r="P31" s="79"/>
    </row>
    <row r="32" ht="16.5" customHeight="1">
      <c r="B32" s="80"/>
      <c r="C32" s="81"/>
      <c r="D32" s="35"/>
      <c r="F32" s="97" t="s">
        <v>39</v>
      </c>
      <c r="G32" s="102">
        <f>SUM(tblAging[[#This Row],[Current]:[Over 90 Days]])</f>
        <v>6932</v>
      </c>
      <c r="H32" s="102">
        <f>_xlfn.SUMIFS(tblInvoices[Current],tblInvoices[CustomerName],tblAging[[#This Row],[Customer]])</f>
        <v>3466</v>
      </c>
      <c r="I32" s="102">
        <f>_xlfn.SUMIFS(tblInvoices[1 to 30 Days],tblInvoices[CustomerName],tblAging[[#This Row],[Customer]])</f>
        <v>1344</v>
      </c>
      <c r="J32" s="102">
        <f>_xlfn.SUMIFS(tblInvoices[31 to 60 Days],tblInvoices[CustomerName],tblAging[[#This Row],[Customer]])</f>
        <v>2122</v>
      </c>
      <c r="K32" s="102">
        <f>_xlfn.SUMIFS(tblInvoices[61 to 90 Days],tblInvoices[CustomerName],tblAging[[#This Row],[Customer]])</f>
        <v>0</v>
      </c>
      <c r="L32" s="102">
        <f>_xlfn.SUMIFS(tblInvoices[Over 90 Days],tblInvoices[CustomerName],tblAging[[#This Row],[Customer]])</f>
        <v>0</v>
      </c>
      <c r="M32" s="46"/>
      <c r="N32" s="35"/>
      <c r="O32" s="82">
        <f>tblAging[[#Totals],[61 to 90 Days]]/tblAging[[#Totals],[Total Outstanding]]</f>
        <v>0.0667759950359011</v>
      </c>
      <c r="P32" s="72">
        <f>tblAging[[#Totals],[61 to 90 Days]]</f>
        <v>7533</v>
      </c>
    </row>
    <row r="33" ht="16.5" customHeight="1">
      <c r="B33" s="83" t="s">
        <v>40</v>
      </c>
      <c r="C33" s="84"/>
      <c r="D33" s="35"/>
      <c r="F33" s="96" t="s">
        <v>41</v>
      </c>
      <c r="G33" s="101">
        <f>SUM(tblAging[[#This Row],[Current]:[Over 90 Days]])</f>
        <v>4012</v>
      </c>
      <c r="H33" s="101">
        <f>_xlfn.SUMIFS(tblInvoices[Current],tblInvoices[CustomerName],tblAging[[#This Row],[Customer]])</f>
        <v>2006</v>
      </c>
      <c r="I33" s="101">
        <f>_xlfn.SUMIFS(tblInvoices[1 to 30 Days],tblInvoices[CustomerName],tblAging[[#This Row],[Customer]])</f>
        <v>0</v>
      </c>
      <c r="J33" s="101">
        <f>_xlfn.SUMIFS(tblInvoices[31 to 60 Days],tblInvoices[CustomerName],tblAging[[#This Row],[Customer]])</f>
        <v>1007</v>
      </c>
      <c r="K33" s="101">
        <f>_xlfn.SUMIFS(tblInvoices[61 to 90 Days],tblInvoices[CustomerName],tblAging[[#This Row],[Customer]])</f>
        <v>999</v>
      </c>
      <c r="L33" s="101">
        <f>_xlfn.SUMIFS(tblInvoices[Over 90 Days],tblInvoices[CustomerName],tblAging[[#This Row],[Customer]])</f>
        <v>0</v>
      </c>
      <c r="M33" s="46"/>
      <c r="N33" s="35"/>
      <c r="O33" s="82"/>
      <c r="P33" s="85" t="s">
        <v>15</v>
      </c>
    </row>
    <row r="34" ht="16.5" customHeight="1" hidden="1">
      <c r="B34" s="3"/>
      <c r="C34" s="3"/>
      <c r="D34" s="35"/>
      <c r="F34" s="97" t="s">
        <v>42</v>
      </c>
      <c r="G34" s="102">
        <f>SUM(tblAging[[#This Row],[Current]:[Over 90 Days]])</f>
        <v>2206</v>
      </c>
      <c r="H34" s="102">
        <f>_xlfn.SUMIFS(tblInvoices[Current],tblInvoices[CustomerName],tblAging[[#This Row],[Customer]])</f>
        <v>1103</v>
      </c>
      <c r="I34" s="102">
        <f>_xlfn.SUMIFS(tblInvoices[1 to 30 Days],tblInvoices[CustomerName],tblAging[[#This Row],[Customer]])</f>
        <v>0</v>
      </c>
      <c r="J34" s="102">
        <f>_xlfn.SUMIFS(tblInvoices[31 to 60 Days],tblInvoices[CustomerName],tblAging[[#This Row],[Customer]])</f>
        <v>603</v>
      </c>
      <c r="K34" s="102">
        <f>_xlfn.SUMIFS(tblInvoices[61 to 90 Days],tblInvoices[CustomerName],tblAging[[#This Row],[Customer]])</f>
        <v>0</v>
      </c>
      <c r="L34" s="102">
        <f>_xlfn.SUMIFS(tblInvoices[Over 90 Days],tblInvoices[CustomerName],tblAging[[#This Row],[Customer]])</f>
        <v>500</v>
      </c>
      <c r="M34" s="46"/>
      <c r="N34" s="35"/>
      <c r="O34" s="78"/>
      <c r="P34" s="79"/>
    </row>
    <row r="35" ht="16.5" customHeight="1" hidden="1">
      <c r="B35" s="3"/>
      <c r="C35" s="3"/>
      <c r="D35" s="35"/>
      <c r="F35" s="97" t="s">
        <v>43</v>
      </c>
      <c r="G35" s="102">
        <f>SUM(tblAging[[#This Row],[Current]:[Over 90 Days]])</f>
        <v>2894</v>
      </c>
      <c r="H35" s="102">
        <f>_xlfn.SUMIFS(tblInvoices[Current],tblInvoices[CustomerName],tblAging[[#This Row],[Customer]])</f>
        <v>1447</v>
      </c>
      <c r="I35" s="102">
        <f>_xlfn.SUMIFS(tblInvoices[1 to 30 Days],tblInvoices[CustomerName],tblAging[[#This Row],[Customer]])</f>
        <v>0</v>
      </c>
      <c r="J35" s="102">
        <f>_xlfn.SUMIFS(tblInvoices[31 to 60 Days],tblInvoices[CustomerName],tblAging[[#This Row],[Customer]])</f>
        <v>1447</v>
      </c>
      <c r="K35" s="102">
        <f>_xlfn.SUMIFS(tblInvoices[61 to 90 Days],tblInvoices[CustomerName],tblAging[[#This Row],[Customer]])</f>
        <v>0</v>
      </c>
      <c r="L35" s="102">
        <f>_xlfn.SUMIFS(tblInvoices[Over 90 Days],tblInvoices[CustomerName],tblAging[[#This Row],[Customer]])</f>
        <v>0</v>
      </c>
      <c r="M35" s="46"/>
      <c r="N35" s="35"/>
      <c r="O35" s="78"/>
      <c r="P35" s="79"/>
    </row>
    <row r="36" ht="16.5" customHeight="1" hidden="1">
      <c r="B36" s="3"/>
      <c r="C36" s="3"/>
      <c r="D36" s="35"/>
      <c r="F36" s="97" t="s">
        <v>44</v>
      </c>
      <c r="G36" s="102">
        <f>SUM(tblAging[[#This Row],[Current]:[Over 90 Days]])</f>
        <v>2774</v>
      </c>
      <c r="H36" s="102">
        <f>_xlfn.SUMIFS(tblInvoices[Current],tblInvoices[CustomerName],tblAging[[#This Row],[Customer]])</f>
        <v>1387</v>
      </c>
      <c r="I36" s="102">
        <f>_xlfn.SUMIFS(tblInvoices[1 to 30 Days],tblInvoices[CustomerName],tblAging[[#This Row],[Customer]])</f>
        <v>772</v>
      </c>
      <c r="J36" s="102">
        <f>_xlfn.SUMIFS(tblInvoices[31 to 60 Days],tblInvoices[CustomerName],tblAging[[#This Row],[Customer]])</f>
        <v>615</v>
      </c>
      <c r="K36" s="102">
        <f>_xlfn.SUMIFS(tblInvoices[61 to 90 Days],tblInvoices[CustomerName],tblAging[[#This Row],[Customer]])</f>
        <v>0</v>
      </c>
      <c r="L36" s="102">
        <f>_xlfn.SUMIFS(tblInvoices[Over 90 Days],tblInvoices[CustomerName],tblAging[[#This Row],[Customer]])</f>
        <v>0</v>
      </c>
      <c r="M36" s="46"/>
      <c r="N36" s="35"/>
      <c r="O36" s="78"/>
      <c r="P36" s="79"/>
    </row>
    <row r="37" ht="16.5" customHeight="1" hidden="1">
      <c r="B37" s="3"/>
      <c r="C37" s="3"/>
      <c r="D37" s="35"/>
      <c r="F37" s="97" t="s">
        <v>45</v>
      </c>
      <c r="G37" s="102">
        <f>SUM(tblAging[[#This Row],[Current]:[Over 90 Days]])</f>
        <v>4332</v>
      </c>
      <c r="H37" s="102">
        <f>_xlfn.SUMIFS(tblInvoices[Current],tblInvoices[CustomerName],tblAging[[#This Row],[Customer]])</f>
        <v>2166</v>
      </c>
      <c r="I37" s="102">
        <f>_xlfn.SUMIFS(tblInvoices[1 to 30 Days],tblInvoices[CustomerName],tblAging[[#This Row],[Customer]])</f>
        <v>0</v>
      </c>
      <c r="J37" s="102">
        <f>_xlfn.SUMIFS(tblInvoices[31 to 60 Days],tblInvoices[CustomerName],tblAging[[#This Row],[Customer]])</f>
        <v>486</v>
      </c>
      <c r="K37" s="102">
        <f>_xlfn.SUMIFS(tblInvoices[61 to 90 Days],tblInvoices[CustomerName],tblAging[[#This Row],[Customer]])</f>
        <v>826</v>
      </c>
      <c r="L37" s="102">
        <f>_xlfn.SUMIFS(tblInvoices[Over 90 Days],tblInvoices[CustomerName],tblAging[[#This Row],[Customer]])</f>
        <v>854</v>
      </c>
      <c r="M37" s="46"/>
      <c r="N37" s="35"/>
      <c r="O37" s="78"/>
      <c r="P37" s="79"/>
    </row>
    <row r="38" ht="16.5" customHeight="1" hidden="1">
      <c r="B38" s="3"/>
      <c r="C38" s="3"/>
      <c r="D38" s="35"/>
      <c r="F38" s="97" t="s">
        <v>46</v>
      </c>
      <c r="G38" s="102">
        <f>SUM(tblAging[[#This Row],[Current]:[Over 90 Days]])</f>
        <v>4676</v>
      </c>
      <c r="H38" s="102">
        <f>_xlfn.SUMIFS(tblInvoices[Current],tblInvoices[CustomerName],tblAging[[#This Row],[Customer]])</f>
        <v>2338</v>
      </c>
      <c r="I38" s="102">
        <f>_xlfn.SUMIFS(tblInvoices[1 to 30 Days],tblInvoices[CustomerName],tblAging[[#This Row],[Customer]])</f>
        <v>917</v>
      </c>
      <c r="J38" s="102">
        <f>_xlfn.SUMIFS(tblInvoices[31 to 60 Days],tblInvoices[CustomerName],tblAging[[#This Row],[Customer]])</f>
        <v>848</v>
      </c>
      <c r="K38" s="102">
        <f>_xlfn.SUMIFS(tblInvoices[61 to 90 Days],tblInvoices[CustomerName],tblAging[[#This Row],[Customer]])</f>
        <v>573</v>
      </c>
      <c r="L38" s="102">
        <f>_xlfn.SUMIFS(tblInvoices[Over 90 Days],tblInvoices[CustomerName],tblAging[[#This Row],[Customer]])</f>
        <v>0</v>
      </c>
      <c r="M38" s="46"/>
      <c r="N38" s="35"/>
      <c r="O38" s="78"/>
      <c r="P38" s="79"/>
    </row>
    <row r="39" ht="16.5" customHeight="1" hidden="1">
      <c r="B39" s="3"/>
      <c r="C39" s="3"/>
      <c r="D39" s="35"/>
      <c r="F39" s="97" t="s">
        <v>47</v>
      </c>
      <c r="G39" s="102">
        <f>SUM(tblAging[[#This Row],[Current]:[Over 90 Days]])</f>
        <v>904</v>
      </c>
      <c r="H39" s="102">
        <f>_xlfn.SUMIFS(tblInvoices[Current],tblInvoices[CustomerName],tblAging[[#This Row],[Customer]])</f>
        <v>452</v>
      </c>
      <c r="I39" s="102">
        <f>_xlfn.SUMIFS(tblInvoices[1 to 30 Days],tblInvoices[CustomerName],tblAging[[#This Row],[Customer]])</f>
        <v>0</v>
      </c>
      <c r="J39" s="102">
        <f>_xlfn.SUMIFS(tblInvoices[31 to 60 Days],tblInvoices[CustomerName],tblAging[[#This Row],[Customer]])</f>
        <v>0</v>
      </c>
      <c r="K39" s="102">
        <f>_xlfn.SUMIFS(tblInvoices[61 to 90 Days],tblInvoices[CustomerName],tblAging[[#This Row],[Customer]])</f>
        <v>452</v>
      </c>
      <c r="L39" s="102">
        <f>_xlfn.SUMIFS(tblInvoices[Over 90 Days],tblInvoices[CustomerName],tblAging[[#This Row],[Customer]])</f>
        <v>0</v>
      </c>
      <c r="M39" s="46"/>
      <c r="N39" s="35"/>
      <c r="O39" s="78"/>
      <c r="P39" s="79"/>
    </row>
    <row r="40" ht="16.5" customHeight="1" hidden="1">
      <c r="B40" s="3"/>
      <c r="C40" s="3"/>
      <c r="D40" s="35"/>
      <c r="F40" s="97" t="s">
        <v>48</v>
      </c>
      <c r="G40" s="102">
        <f>SUM(tblAging[[#This Row],[Current]:[Over 90 Days]])</f>
        <v>6368</v>
      </c>
      <c r="H40" s="102">
        <f>_xlfn.SUMIFS(tblInvoices[Current],tblInvoices[CustomerName],tblAging[[#This Row],[Customer]])</f>
        <v>3184</v>
      </c>
      <c r="I40" s="102">
        <f>_xlfn.SUMIFS(tblInvoices[1 to 30 Days],tblInvoices[CustomerName],tblAging[[#This Row],[Customer]])</f>
        <v>1616</v>
      </c>
      <c r="J40" s="102">
        <f>_xlfn.SUMIFS(tblInvoices[31 to 60 Days],tblInvoices[CustomerName],tblAging[[#This Row],[Customer]])</f>
        <v>977</v>
      </c>
      <c r="K40" s="102">
        <f>_xlfn.SUMIFS(tblInvoices[61 to 90 Days],tblInvoices[CustomerName],tblAging[[#This Row],[Customer]])</f>
        <v>0</v>
      </c>
      <c r="L40" s="102">
        <f>_xlfn.SUMIFS(tblInvoices[Over 90 Days],tblInvoices[CustomerName],tblAging[[#This Row],[Customer]])</f>
        <v>591</v>
      </c>
      <c r="M40" s="46"/>
      <c r="N40" s="35"/>
      <c r="O40" s="78"/>
      <c r="P40" s="79"/>
    </row>
    <row r="41" ht="16.5" customHeight="1" hidden="1">
      <c r="B41" s="3"/>
      <c r="C41" s="3"/>
      <c r="D41" s="35"/>
      <c r="F41" s="97" t="s">
        <v>49</v>
      </c>
      <c r="G41" s="102">
        <f>SUM(tblAging[[#This Row],[Current]:[Over 90 Days]])</f>
        <v>2498</v>
      </c>
      <c r="H41" s="102">
        <f>_xlfn.SUMIFS(tblInvoices[Current],tblInvoices[CustomerName],tblAging[[#This Row],[Customer]])</f>
        <v>1249</v>
      </c>
      <c r="I41" s="102">
        <f>_xlfn.SUMIFS(tblInvoices[1 to 30 Days],tblInvoices[CustomerName],tblAging[[#This Row],[Customer]])</f>
        <v>881</v>
      </c>
      <c r="J41" s="102">
        <f>_xlfn.SUMIFS(tblInvoices[31 to 60 Days],tblInvoices[CustomerName],tblAging[[#This Row],[Customer]])</f>
        <v>0</v>
      </c>
      <c r="K41" s="102">
        <f>_xlfn.SUMIFS(tblInvoices[61 to 90 Days],tblInvoices[CustomerName],tblAging[[#This Row],[Customer]])</f>
        <v>0</v>
      </c>
      <c r="L41" s="102">
        <f>_xlfn.SUMIFS(tblInvoices[Over 90 Days],tblInvoices[CustomerName],tblAging[[#This Row],[Customer]])</f>
        <v>368</v>
      </c>
      <c r="M41" s="46"/>
      <c r="N41" s="35"/>
      <c r="O41" s="78"/>
      <c r="P41" s="79"/>
    </row>
    <row r="42" ht="16.5" customHeight="1" hidden="1">
      <c r="B42" s="3"/>
      <c r="C42" s="3"/>
      <c r="D42" s="35"/>
      <c r="F42" s="97" t="s">
        <v>50</v>
      </c>
      <c r="G42" s="102">
        <f>SUM(tblAging[[#This Row],[Current]:[Over 90 Days]])</f>
        <v>5516</v>
      </c>
      <c r="H42" s="102">
        <f>_xlfn.SUMIFS(tblInvoices[Current],tblInvoices[CustomerName],tblAging[[#This Row],[Customer]])</f>
        <v>2758</v>
      </c>
      <c r="I42" s="102">
        <f>_xlfn.SUMIFS(tblInvoices[1 to 30 Days],tblInvoices[CustomerName],tblAging[[#This Row],[Customer]])</f>
        <v>2210</v>
      </c>
      <c r="J42" s="102">
        <f>_xlfn.SUMIFS(tblInvoices[31 to 60 Days],tblInvoices[CustomerName],tblAging[[#This Row],[Customer]])</f>
        <v>548</v>
      </c>
      <c r="K42" s="102">
        <f>_xlfn.SUMIFS(tblInvoices[61 to 90 Days],tblInvoices[CustomerName],tblAging[[#This Row],[Customer]])</f>
        <v>0</v>
      </c>
      <c r="L42" s="102">
        <f>_xlfn.SUMIFS(tblInvoices[Over 90 Days],tblInvoices[CustomerName],tblAging[[#This Row],[Customer]])</f>
        <v>0</v>
      </c>
      <c r="M42" s="46"/>
      <c r="N42" s="35"/>
      <c r="O42" s="78"/>
      <c r="P42" s="79"/>
    </row>
    <row r="43" ht="16.5" customHeight="1" hidden="1">
      <c r="B43" s="3"/>
      <c r="C43" s="3"/>
      <c r="D43" s="35"/>
      <c r="F43" s="98" t="s">
        <v>51</v>
      </c>
      <c r="G43" s="103">
        <f>SUM(tblAging[[#This Row],[Current]:[Over 90 Days]])</f>
        <v>3472</v>
      </c>
      <c r="H43" s="103">
        <f>_xlfn.SUMIFS(tblInvoices[Current],tblInvoices[CustomerName],tblAging[[#This Row],[Customer]])</f>
        <v>1736</v>
      </c>
      <c r="I43" s="103">
        <f>_xlfn.SUMIFS(tblInvoices[1 to 30 Days],tblInvoices[CustomerName],tblAging[[#This Row],[Customer]])</f>
        <v>738</v>
      </c>
      <c r="J43" s="103">
        <f>_xlfn.SUMIFS(tblInvoices[31 to 60 Days],tblInvoices[CustomerName],tblAging[[#This Row],[Customer]])</f>
        <v>998</v>
      </c>
      <c r="K43" s="103">
        <f>_xlfn.SUMIFS(tblInvoices[61 to 90 Days],tblInvoices[CustomerName],tblAging[[#This Row],[Customer]])</f>
        <v>0</v>
      </c>
      <c r="L43" s="103">
        <f>_xlfn.SUMIFS(tblInvoices[Over 90 Days],tblInvoices[CustomerName],tblAging[[#This Row],[Customer]])</f>
        <v>0</v>
      </c>
      <c r="M43" s="46"/>
      <c r="N43" s="35"/>
      <c r="O43" s="78"/>
      <c r="P43" s="79"/>
    </row>
    <row r="44" ht="16.5" customHeight="1">
      <c r="D44" s="35"/>
      <c r="F44" s="94" t="s">
        <v>52</v>
      </c>
      <c r="G44" s="99">
        <f>SUM(tblAging[Total Outstanding])</f>
        <v>112810</v>
      </c>
      <c r="H44" s="104">
        <f>SUM(tblAging[Current])</f>
        <v>56405</v>
      </c>
      <c r="I44" s="104">
        <f>SUM(tblAging[1 to 30 Days])</f>
        <v>22631</v>
      </c>
      <c r="J44" s="104">
        <f>SUM(tblAging[31 to 60 Days])</f>
        <v>21328</v>
      </c>
      <c r="K44" s="104">
        <f>SUM(tblAging[61 to 90 Days])</f>
        <v>7533</v>
      </c>
      <c r="L44" s="104">
        <f>SUM(tblAging[Over 90 Days])</f>
        <v>4913</v>
      </c>
      <c r="M44" s="46"/>
      <c r="N44" s="35"/>
      <c r="O44" s="91">
        <f>tblAging[[#Totals],[Over 90 Days]]/tblAging[[#Totals],[Total Outstanding]]</f>
        <v>0.0435511036255651</v>
      </c>
      <c r="P44" s="72">
        <f>tblAging[[#Totals],[Over 90 Days]]</f>
        <v>4913</v>
      </c>
    </row>
    <row r="45" ht="16.5" customHeight="1">
      <c r="B45" s="3"/>
      <c r="C45" s="3"/>
      <c r="D45" s="35"/>
      <c r="M45" s="46"/>
      <c r="N45" s="35"/>
      <c r="O45" s="91"/>
      <c r="P45" s="92" t="s">
        <v>16</v>
      </c>
    </row>
  </sheetData>
  <mergeCells>
    <mergeCell ref="B11:C12"/>
    <mergeCell ref="O24:O25"/>
    <mergeCell ref="O26:O27"/>
    <mergeCell ref="O28:O29"/>
    <mergeCell ref="O32:O33"/>
    <mergeCell ref="O44:O45"/>
    <mergeCell ref="B29:C32"/>
    <mergeCell ref="B33:C33"/>
    <mergeCell ref="B27:C27"/>
    <mergeCell ref="B25:C26"/>
    <mergeCell ref="B15:C23"/>
    <mergeCell ref="F2:M2"/>
    <mergeCell ref="H3:J3"/>
    <mergeCell ref="A1:E2"/>
  </mergeCells>
  <conditionalFormatting sqref="G12:G33">
    <cfRule type="dataBar" priority="1">
      <dataBar>
        <cfvo type="min"/>
        <cfvo type="max"/>
        <color rgb="FF32E3AE"/>
      </dataBar>
      <extLst>
        <ext xmlns:x14="http://schemas.microsoft.com/office/spreadsheetml/2009/9/main" uri="{B025F937-C7B1-47D3-B67F-A62EFF666E3E}">
          <x14:id>{417a4af5-7326-4a42-81d4-b24153776fde}</x14:id>
        </ext>
      </extLst>
    </cfRule>
  </conditionalFormatting>
  <hyperlinks>
    <hyperlink ref="A1:E2" r:id="rId1" display="View More Report Demos"/>
    <hyperlink ref="B1" r:id="rId2" display="View More Report Demos"/>
    <hyperlink ref="C1" r:id="rId3" display="View More Report Demos"/>
    <hyperlink ref="D1" r:id="rId4" display="View More Report Demos"/>
    <hyperlink ref="E1" r:id="rId5" display="View More Report Demos"/>
    <hyperlink ref="A2" r:id="rId6" display="View More Report Demos"/>
    <hyperlink ref="B2" r:id="rId7" display="View More Report Demos"/>
    <hyperlink ref="C2" r:id="rId8" display="View More Report Demos"/>
    <hyperlink ref="D2" r:id="rId9" display="View More Report Demos"/>
    <hyperlink ref="E2" r:id="rId10" display="View More Report Demos"/>
  </hyperlink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drawing r:id="rId12"/>
  <tableParts count="1">
    <tablePart r:id="rId1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7a4af5-7326-4a42-81d4-b24153776fde}">
            <x14:dataBar minLength="0" maxLength="100" gradient="0" direction="leftToRight">
              <x14:color rgb="FF32E3AE"/>
              <x14:cfvo type="autoMin"/>
              <x14:cfvo type="autoMax"/>
              <x14:negativeFillColor rgb="FFFF0000"/>
              <x14:negativeBorderColor rgb="FF000000"/>
              <x14:axisColor rgb="FF000000"/>
            </x14:dataBar>
          </x14:cfRule>
          <xm:sqref>G12:G33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2DA2E7E-6F0A-4F29-8329-6D9C3CBD483A}" mc:Ignorable="x14ac xr xr2 xr3">
  <dimension ref="A1:T104"/>
  <sheetViews>
    <sheetView topLeftCell="A1" workbookViewId="0">
      <selection activeCell="J5" sqref="J5"/>
    </sheetView>
  </sheetViews>
  <sheetFormatPr defaultRowHeight="14.25" defaultColWidth="8.8515625" customHeight="1"/>
  <cols>
    <col min="1" max="1" width="22.421875" customWidth="1"/>
    <col min="2" max="2" width="15.8515625" customWidth="1"/>
    <col min="3" max="3" width="13.140625" customWidth="1"/>
    <col min="4" max="4" width="11.28125" customWidth="1"/>
    <col min="5" max="5" style="111" width="15.8515625" customWidth="1"/>
    <col min="6" max="10" style="111" width="13.7109375" customWidth="1"/>
    <col min="12" max="13" width="8.8515625" hidden="1" customWidth="1"/>
  </cols>
  <sheetData>
    <row r="1" ht="14.25" customHeight="1">
      <c r="A1" s="105" t="s">
        <v>53</v>
      </c>
      <c r="B1" s="7" t="s">
        <v>53</v>
      </c>
      <c r="C1" s="7" t="s">
        <v>53</v>
      </c>
      <c r="K1" s="106"/>
    </row>
    <row r="2" ht="14.25" customHeight="1">
      <c r="A2" s="7" t="s">
        <v>53</v>
      </c>
      <c r="B2" s="7" t="s">
        <v>53</v>
      </c>
      <c r="C2" s="7" t="s">
        <v>53</v>
      </c>
    </row>
    <row r="3" ht="14.25" customHeight="1">
      <c r="A3" s="112" t="s">
        <v>54</v>
      </c>
      <c r="B3" s="112" t="s">
        <v>55</v>
      </c>
      <c r="C3" s="112" t="s">
        <v>56</v>
      </c>
      <c r="D3" s="119" t="s">
        <v>57</v>
      </c>
      <c r="E3" s="122" t="s">
        <v>58</v>
      </c>
      <c r="F3" s="122" t="s">
        <v>12</v>
      </c>
      <c r="G3" s="122" t="s">
        <v>13</v>
      </c>
      <c r="H3" s="122" t="s">
        <v>14</v>
      </c>
      <c r="I3" s="122" t="s">
        <v>15</v>
      </c>
      <c r="J3" s="122" t="s">
        <v>16</v>
      </c>
      <c r="L3" s="46" t="s">
        <v>59</v>
      </c>
      <c r="M3" s="109">
        <f>M5+M7</f>
        <v>46204</v>
      </c>
    </row>
    <row r="4" ht="14.25" customHeight="1">
      <c r="A4" s="113" t="s">
        <v>21</v>
      </c>
      <c r="B4" s="115">
        <v>101</v>
      </c>
      <c r="C4" s="117">
        <v>46131</v>
      </c>
      <c r="D4" s="120">
        <f>tblInvoices[[#This Row],[Invoice Date]]+30</f>
        <v>46161</v>
      </c>
      <c r="E4" s="123">
        <v>658</v>
      </c>
      <c r="F4" s="108">
        <f>IF($M$3&gt;tblInvoices[[#This Row],[Due Date]],tblInvoices[[#This Row],[Invoice Amount]],0)</f>
        <v>658</v>
      </c>
      <c r="G4" s="123">
        <f>IF(AND($M$3-tblInvoices[[#This Row],[Due Date]]&gt;=1,$M$3-tblInvoices[[#This Row],[Due Date]]&lt;=30),tblInvoices[[#This Row],[Invoice Amount]],0)</f>
        <v>0</v>
      </c>
      <c r="H4" s="108">
        <f>IF(AND($M$3-tblInvoices[[#This Row],[Due Date]]&gt;=31,$M$3-tblInvoices[[#This Row],[Due Date]]&lt;=60),tblInvoices[[#This Row],[Invoice Amount]],0)</f>
        <v>658</v>
      </c>
      <c r="I4" s="123">
        <f>IF(AND($M$3-tblInvoices[[#This Row],[Due Date]]&gt;=61,$M$3-tblInvoices[[#This Row],[Due Date]]&lt;=90),tblInvoices[[#This Row],[Invoice Amount]],0)</f>
        <v>0</v>
      </c>
      <c r="J4" s="108">
        <f>IF($M$3-tblInvoices[[#This Row],[Due Date]]&gt;=91,tblInvoices[[#This Row],[Invoice Amount]],0)</f>
        <v>0</v>
      </c>
      <c r="L4" s="109"/>
    </row>
    <row r="5" ht="14.25" customHeight="1">
      <c r="A5" s="113" t="s">
        <v>26</v>
      </c>
      <c r="B5" s="115">
        <v>102</v>
      </c>
      <c r="C5" s="117">
        <v>46078</v>
      </c>
      <c r="D5" s="120">
        <f>tblInvoices[[#This Row],[Invoice Date]]+30</f>
        <v>46108</v>
      </c>
      <c r="E5" s="123">
        <v>613</v>
      </c>
      <c r="F5" s="108">
        <f>IF($M$3&gt;tblInvoices[[#This Row],[Due Date]],tblInvoices[[#This Row],[Invoice Amount]],0)</f>
        <v>613</v>
      </c>
      <c r="G5" s="123">
        <f>IF(AND($M$3-tblInvoices[[#This Row],[Due Date]]&gt;=1,$M$3-tblInvoices[[#This Row],[Due Date]]&lt;=30),tblInvoices[[#This Row],[Invoice Amount]],0)</f>
        <v>0</v>
      </c>
      <c r="H5" s="108">
        <f>IF(AND($M$3-tblInvoices[[#This Row],[Due Date]]&gt;=31,$M$3-tblInvoices[[#This Row],[Due Date]]&lt;=60),tblInvoices[[#This Row],[Invoice Amount]],0)</f>
        <v>0</v>
      </c>
      <c r="I5" s="123">
        <f>IF(AND($M$3-tblInvoices[[#This Row],[Due Date]]&gt;=61,$M$3-tblInvoices[[#This Row],[Due Date]]&lt;=90),tblInvoices[[#This Row],[Invoice Amount]],0)</f>
        <v>0</v>
      </c>
      <c r="J5" s="108">
        <f>IF($M$3-tblInvoices[[#This Row],[Due Date]]&gt;=91,tblInvoices[[#This Row],[Invoice Amount]],0)</f>
        <v>613</v>
      </c>
      <c r="M5" s="109">
        <v>46204</v>
      </c>
    </row>
    <row r="6" ht="14.25" customHeight="1">
      <c r="A6" s="113" t="s">
        <v>42</v>
      </c>
      <c r="B6" s="115">
        <v>103</v>
      </c>
      <c r="C6" s="117">
        <v>46067</v>
      </c>
      <c r="D6" s="120">
        <f>tblInvoices[[#This Row],[Invoice Date]]+30</f>
        <v>46097</v>
      </c>
      <c r="E6" s="123">
        <v>500</v>
      </c>
      <c r="F6" s="108">
        <f>IF($M$3&gt;tblInvoices[[#This Row],[Due Date]],tblInvoices[[#This Row],[Invoice Amount]],0)</f>
        <v>500</v>
      </c>
      <c r="G6" s="123">
        <f>IF(AND($M$3-tblInvoices[[#This Row],[Due Date]]&gt;=1,$M$3-tblInvoices[[#This Row],[Due Date]]&lt;=30),tblInvoices[[#This Row],[Invoice Amount]],0)</f>
        <v>0</v>
      </c>
      <c r="H6" s="108">
        <f>IF(AND($M$3-tblInvoices[[#This Row],[Due Date]]&gt;=31,$M$3-tblInvoices[[#This Row],[Due Date]]&lt;=60),tblInvoices[[#This Row],[Invoice Amount]],0)</f>
        <v>0</v>
      </c>
      <c r="I6" s="123">
        <f>IF(AND($M$3-tblInvoices[[#This Row],[Due Date]]&gt;=61,$M$3-tblInvoices[[#This Row],[Due Date]]&lt;=90),tblInvoices[[#This Row],[Invoice Amount]],0)</f>
        <v>0</v>
      </c>
      <c r="J6" s="108">
        <f>IF($M$3-tblInvoices[[#This Row],[Due Date]]&gt;=91,tblInvoices[[#This Row],[Invoice Amount]],0)</f>
        <v>500</v>
      </c>
      <c r="L6" s="109"/>
    </row>
    <row r="7" ht="14.25" customHeight="1">
      <c r="A7" s="113" t="s">
        <v>25</v>
      </c>
      <c r="B7" s="115">
        <v>104</v>
      </c>
      <c r="C7" s="117">
        <v>46061</v>
      </c>
      <c r="D7" s="120">
        <f>tblInvoices[[#This Row],[Invoice Date]]+30</f>
        <v>46091</v>
      </c>
      <c r="E7" s="123">
        <v>833</v>
      </c>
      <c r="F7" s="108">
        <f>IF($M$3&gt;tblInvoices[[#This Row],[Due Date]],tblInvoices[[#This Row],[Invoice Amount]],0)</f>
        <v>833</v>
      </c>
      <c r="G7" s="123">
        <f>IF(AND($M$3-tblInvoices[[#This Row],[Due Date]]&gt;=1,$M$3-tblInvoices[[#This Row],[Due Date]]&lt;=30),tblInvoices[[#This Row],[Invoice Amount]],0)</f>
        <v>0</v>
      </c>
      <c r="H7" s="108">
        <f>IF(AND($M$3-tblInvoices[[#This Row],[Due Date]]&gt;=31,$M$3-tblInvoices[[#This Row],[Due Date]]&lt;=60),tblInvoices[[#This Row],[Invoice Amount]],0)</f>
        <v>0</v>
      </c>
      <c r="I7" s="123">
        <f>IF(AND($M$3-tblInvoices[[#This Row],[Due Date]]&gt;=61,$M$3-tblInvoices[[#This Row],[Due Date]]&lt;=90),tblInvoices[[#This Row],[Invoice Amount]],0)</f>
        <v>0</v>
      </c>
      <c r="J7" s="108">
        <f>IF($M$3-tblInvoices[[#This Row],[Due Date]]&gt;=91,tblInvoices[[#This Row],[Invoice Amount]],0)</f>
        <v>833</v>
      </c>
      <c r="M7">
        <f>'Aging Report'!B15</f>
        <v>0</v>
      </c>
    </row>
    <row r="8" ht="14.25" customHeight="1">
      <c r="A8" s="113" t="s">
        <v>47</v>
      </c>
      <c r="B8" s="115">
        <v>105</v>
      </c>
      <c r="C8" s="117">
        <v>46104</v>
      </c>
      <c r="D8" s="120">
        <f>tblInvoices[[#This Row],[Invoice Date]]+30</f>
        <v>46134</v>
      </c>
      <c r="E8" s="123">
        <v>452</v>
      </c>
      <c r="F8" s="108">
        <f>IF($M$3&gt;tblInvoices[[#This Row],[Due Date]],tblInvoices[[#This Row],[Invoice Amount]],0)</f>
        <v>452</v>
      </c>
      <c r="G8" s="123">
        <f>IF(AND($M$3-tblInvoices[[#This Row],[Due Date]]&gt;=1,$M$3-tblInvoices[[#This Row],[Due Date]]&lt;=30),tblInvoices[[#This Row],[Invoice Amount]],0)</f>
        <v>0</v>
      </c>
      <c r="H8" s="108">
        <f>IF(AND($M$3-tblInvoices[[#This Row],[Due Date]]&gt;=31,$M$3-tblInvoices[[#This Row],[Due Date]]&lt;=60),tblInvoices[[#This Row],[Invoice Amount]],0)</f>
        <v>0</v>
      </c>
      <c r="I8" s="123">
        <f>IF(AND($M$3-tblInvoices[[#This Row],[Due Date]]&gt;=61,$M$3-tblInvoices[[#This Row],[Due Date]]&lt;=90),tblInvoices[[#This Row],[Invoice Amount]],0)</f>
        <v>452</v>
      </c>
      <c r="J8" s="108">
        <f>IF($M$3-tblInvoices[[#This Row],[Due Date]]&gt;=91,tblInvoices[[#This Row],[Invoice Amount]],0)</f>
        <v>0</v>
      </c>
    </row>
    <row r="9" ht="14.25" customHeight="1">
      <c r="A9" s="113" t="s">
        <v>48</v>
      </c>
      <c r="B9" s="115">
        <v>106</v>
      </c>
      <c r="C9" s="117">
        <v>46083</v>
      </c>
      <c r="D9" s="120">
        <f>tblInvoices[[#This Row],[Invoice Date]]+30</f>
        <v>46113</v>
      </c>
      <c r="E9" s="123">
        <v>591</v>
      </c>
      <c r="F9" s="108">
        <f>IF($M$3&gt;tblInvoices[[#This Row],[Due Date]],tblInvoices[[#This Row],[Invoice Amount]],0)</f>
        <v>591</v>
      </c>
      <c r="G9" s="123">
        <f>IF(AND($M$3-tblInvoices[[#This Row],[Due Date]]&gt;=1,$M$3-tblInvoices[[#This Row],[Due Date]]&lt;=30),tblInvoices[[#This Row],[Invoice Amount]],0)</f>
        <v>0</v>
      </c>
      <c r="H9" s="108">
        <f>IF(AND($M$3-tblInvoices[[#This Row],[Due Date]]&gt;=31,$M$3-tblInvoices[[#This Row],[Due Date]]&lt;=60),tblInvoices[[#This Row],[Invoice Amount]],0)</f>
        <v>0</v>
      </c>
      <c r="I9" s="123">
        <f>IF(AND($M$3-tblInvoices[[#This Row],[Due Date]]&gt;=61,$M$3-tblInvoices[[#This Row],[Due Date]]&lt;=90),tblInvoices[[#This Row],[Invoice Amount]],0)</f>
        <v>0</v>
      </c>
      <c r="J9" s="108">
        <f>IF($M$3-tblInvoices[[#This Row],[Due Date]]&gt;=91,tblInvoices[[#This Row],[Invoice Amount]],0)</f>
        <v>591</v>
      </c>
    </row>
    <row r="10" ht="14.25" customHeight="1">
      <c r="A10" s="113" t="s">
        <v>25</v>
      </c>
      <c r="B10" s="115">
        <v>107</v>
      </c>
      <c r="C10" s="117">
        <v>46114</v>
      </c>
      <c r="D10" s="120">
        <f>tblInvoices[[#This Row],[Invoice Date]]+30</f>
        <v>46144</v>
      </c>
      <c r="E10" s="123">
        <v>512</v>
      </c>
      <c r="F10" s="108">
        <f>IF($M$3&gt;tblInvoices[[#This Row],[Due Date]],tblInvoices[[#This Row],[Invoice Amount]],0)</f>
        <v>512</v>
      </c>
      <c r="G10" s="123">
        <f>IF(AND($M$3-tblInvoices[[#This Row],[Due Date]]&gt;=1,$M$3-tblInvoices[[#This Row],[Due Date]]&lt;=30),tblInvoices[[#This Row],[Invoice Amount]],0)</f>
        <v>0</v>
      </c>
      <c r="H10" s="108">
        <f>IF(AND($M$3-tblInvoices[[#This Row],[Due Date]]&gt;=31,$M$3-tblInvoices[[#This Row],[Due Date]]&lt;=60),tblInvoices[[#This Row],[Invoice Amount]],0)</f>
        <v>512</v>
      </c>
      <c r="I10" s="123">
        <f>IF(AND($M$3-tblInvoices[[#This Row],[Due Date]]&gt;=61,$M$3-tblInvoices[[#This Row],[Due Date]]&lt;=90),tblInvoices[[#This Row],[Invoice Amount]],0)</f>
        <v>0</v>
      </c>
      <c r="J10" s="108">
        <f>IF($M$3-tblInvoices[[#This Row],[Due Date]]&gt;=91,tblInvoices[[#This Row],[Invoice Amount]],0)</f>
        <v>0</v>
      </c>
    </row>
    <row r="11" ht="14.25" customHeight="1">
      <c r="A11" s="113" t="s">
        <v>60</v>
      </c>
      <c r="B11" s="115">
        <v>108</v>
      </c>
      <c r="C11" s="117">
        <v>46066</v>
      </c>
      <c r="D11" s="120">
        <f>tblInvoices[[#This Row],[Invoice Date]]+30</f>
        <v>46096</v>
      </c>
      <c r="E11" s="123">
        <v>304</v>
      </c>
      <c r="F11" s="108">
        <f>IF($M$3&gt;tblInvoices[[#This Row],[Due Date]],tblInvoices[[#This Row],[Invoice Amount]],0)</f>
        <v>304</v>
      </c>
      <c r="G11" s="123">
        <f>IF(AND($M$3-tblInvoices[[#This Row],[Due Date]]&gt;=1,$M$3-tblInvoices[[#This Row],[Due Date]]&lt;=30),tblInvoices[[#This Row],[Invoice Amount]],0)</f>
        <v>0</v>
      </c>
      <c r="H11" s="108">
        <f>IF(AND($M$3-tblInvoices[[#This Row],[Due Date]]&gt;=31,$M$3-tblInvoices[[#This Row],[Due Date]]&lt;=60),tblInvoices[[#This Row],[Invoice Amount]],0)</f>
        <v>0</v>
      </c>
      <c r="I11" s="123">
        <f>IF(AND($M$3-tblInvoices[[#This Row],[Due Date]]&gt;=61,$M$3-tblInvoices[[#This Row],[Due Date]]&lt;=90),tblInvoices[[#This Row],[Invoice Amount]],0)</f>
        <v>0</v>
      </c>
      <c r="J11" s="108">
        <f>IF($M$3-tblInvoices[[#This Row],[Due Date]]&gt;=91,tblInvoices[[#This Row],[Invoice Amount]],0)</f>
        <v>304</v>
      </c>
    </row>
    <row r="12" ht="14.25" customHeight="1">
      <c r="A12" s="113" t="s">
        <v>25</v>
      </c>
      <c r="B12" s="115">
        <v>109</v>
      </c>
      <c r="C12" s="117">
        <v>46100</v>
      </c>
      <c r="D12" s="120">
        <f>tblInvoices[[#This Row],[Invoice Date]]+30</f>
        <v>46130</v>
      </c>
      <c r="E12" s="123">
        <v>374</v>
      </c>
      <c r="F12" s="108">
        <f>IF($M$3&gt;tblInvoices[[#This Row],[Due Date]],tblInvoices[[#This Row],[Invoice Amount]],0)</f>
        <v>374</v>
      </c>
      <c r="G12" s="123">
        <f>IF(AND($M$3-tblInvoices[[#This Row],[Due Date]]&gt;=1,$M$3-tblInvoices[[#This Row],[Due Date]]&lt;=30),tblInvoices[[#This Row],[Invoice Amount]],0)</f>
        <v>0</v>
      </c>
      <c r="H12" s="108">
        <f>IF(AND($M$3-tblInvoices[[#This Row],[Due Date]]&gt;=31,$M$3-tblInvoices[[#This Row],[Due Date]]&lt;=60),tblInvoices[[#This Row],[Invoice Amount]],0)</f>
        <v>0</v>
      </c>
      <c r="I12" s="123">
        <f>IF(AND($M$3-tblInvoices[[#This Row],[Due Date]]&gt;=61,$M$3-tblInvoices[[#This Row],[Due Date]]&lt;=90),tblInvoices[[#This Row],[Invoice Amount]],0)</f>
        <v>374</v>
      </c>
      <c r="J12" s="108">
        <f>IF($M$3-tblInvoices[[#This Row],[Due Date]]&gt;=91,tblInvoices[[#This Row],[Invoice Amount]],0)</f>
        <v>0</v>
      </c>
    </row>
    <row r="13" ht="14.25" customHeight="1">
      <c r="A13" s="113" t="s">
        <v>49</v>
      </c>
      <c r="B13" s="115">
        <v>110</v>
      </c>
      <c r="C13" s="117">
        <v>46078</v>
      </c>
      <c r="D13" s="120">
        <f>tblInvoices[[#This Row],[Invoice Date]]+30</f>
        <v>46108</v>
      </c>
      <c r="E13" s="123">
        <v>368</v>
      </c>
      <c r="F13" s="108">
        <f>IF($M$3&gt;tblInvoices[[#This Row],[Due Date]],tblInvoices[[#This Row],[Invoice Amount]],0)</f>
        <v>368</v>
      </c>
      <c r="G13" s="123">
        <f>IF(AND($M$3-tblInvoices[[#This Row],[Due Date]]&gt;=1,$M$3-tblInvoices[[#This Row],[Due Date]]&lt;=30),tblInvoices[[#This Row],[Invoice Amount]],0)</f>
        <v>0</v>
      </c>
      <c r="H13" s="108">
        <f>IF(AND($M$3-tblInvoices[[#This Row],[Due Date]]&gt;=31,$M$3-tblInvoices[[#This Row],[Due Date]]&lt;=60),tblInvoices[[#This Row],[Invoice Amount]],0)</f>
        <v>0</v>
      </c>
      <c r="I13" s="123">
        <f>IF(AND($M$3-tblInvoices[[#This Row],[Due Date]]&gt;=61,$M$3-tblInvoices[[#This Row],[Due Date]]&lt;=90),tblInvoices[[#This Row],[Invoice Amount]],0)</f>
        <v>0</v>
      </c>
      <c r="J13" s="108">
        <f>IF($M$3-tblInvoices[[#This Row],[Due Date]]&gt;=91,tblInvoices[[#This Row],[Invoice Amount]],0)</f>
        <v>368</v>
      </c>
    </row>
    <row r="14" ht="14.25" customHeight="1">
      <c r="A14" s="113" t="s">
        <v>45</v>
      </c>
      <c r="B14" s="115">
        <v>111</v>
      </c>
      <c r="C14" s="117">
        <v>46072</v>
      </c>
      <c r="D14" s="120">
        <f>tblInvoices[[#This Row],[Invoice Date]]+30</f>
        <v>46102</v>
      </c>
      <c r="E14" s="123">
        <v>854</v>
      </c>
      <c r="F14" s="108">
        <f>IF($M$3&gt;tblInvoices[[#This Row],[Due Date]],tblInvoices[[#This Row],[Invoice Amount]],0)</f>
        <v>854</v>
      </c>
      <c r="G14" s="123">
        <f>IF(AND($M$3-tblInvoices[[#This Row],[Due Date]]&gt;=1,$M$3-tblInvoices[[#This Row],[Due Date]]&lt;=30),tblInvoices[[#This Row],[Invoice Amount]],0)</f>
        <v>0</v>
      </c>
      <c r="H14" s="108">
        <f>IF(AND($M$3-tblInvoices[[#This Row],[Due Date]]&gt;=31,$M$3-tblInvoices[[#This Row],[Due Date]]&lt;=60),tblInvoices[[#This Row],[Invoice Amount]],0)</f>
        <v>0</v>
      </c>
      <c r="I14" s="123">
        <f>IF(AND($M$3-tblInvoices[[#This Row],[Due Date]]&gt;=61,$M$3-tblInvoices[[#This Row],[Due Date]]&lt;=90),tblInvoices[[#This Row],[Invoice Amount]],0)</f>
        <v>0</v>
      </c>
      <c r="J14" s="108">
        <f>IF($M$3-tblInvoices[[#This Row],[Due Date]]&gt;=91,tblInvoices[[#This Row],[Invoice Amount]],0)</f>
        <v>854</v>
      </c>
    </row>
    <row r="15" ht="14.25" customHeight="1">
      <c r="A15" s="113" t="s">
        <v>50</v>
      </c>
      <c r="B15" s="115">
        <v>112</v>
      </c>
      <c r="C15" s="117">
        <v>46125</v>
      </c>
      <c r="D15" s="120">
        <f>tblInvoices[[#This Row],[Invoice Date]]+30</f>
        <v>46155</v>
      </c>
      <c r="E15" s="123">
        <v>548</v>
      </c>
      <c r="F15" s="108">
        <f>IF($M$3&gt;tblInvoices[[#This Row],[Due Date]],tblInvoices[[#This Row],[Invoice Amount]],0)</f>
        <v>548</v>
      </c>
      <c r="G15" s="123">
        <f>IF(AND($M$3-tblInvoices[[#This Row],[Due Date]]&gt;=1,$M$3-tblInvoices[[#This Row],[Due Date]]&lt;=30),tblInvoices[[#This Row],[Invoice Amount]],0)</f>
        <v>0</v>
      </c>
      <c r="H15" s="108">
        <f>IF(AND($M$3-tblInvoices[[#This Row],[Due Date]]&gt;=31,$M$3-tblInvoices[[#This Row],[Due Date]]&lt;=60),tblInvoices[[#This Row],[Invoice Amount]],0)</f>
        <v>548</v>
      </c>
      <c r="I15" s="123">
        <f>IF(AND($M$3-tblInvoices[[#This Row],[Due Date]]&gt;=61,$M$3-tblInvoices[[#This Row],[Due Date]]&lt;=90),tblInvoices[[#This Row],[Invoice Amount]],0)</f>
        <v>0</v>
      </c>
      <c r="J15" s="108">
        <f>IF($M$3-tblInvoices[[#This Row],[Due Date]]&gt;=91,tblInvoices[[#This Row],[Invoice Amount]],0)</f>
        <v>0</v>
      </c>
    </row>
    <row r="16" ht="14.25" customHeight="1">
      <c r="A16" s="113" t="s">
        <v>22</v>
      </c>
      <c r="B16" s="115">
        <v>113</v>
      </c>
      <c r="C16" s="117">
        <v>46060</v>
      </c>
      <c r="D16" s="120">
        <f>tblInvoices[[#This Row],[Invoice Date]]+30</f>
        <v>46090</v>
      </c>
      <c r="E16" s="123">
        <v>417</v>
      </c>
      <c r="F16" s="108">
        <f>IF($M$3&gt;tblInvoices[[#This Row],[Due Date]],tblInvoices[[#This Row],[Invoice Amount]],0)</f>
        <v>417</v>
      </c>
      <c r="G16" s="123">
        <f>IF(AND($M$3-tblInvoices[[#This Row],[Due Date]]&gt;=1,$M$3-tblInvoices[[#This Row],[Due Date]]&lt;=30),tblInvoices[[#This Row],[Invoice Amount]],0)</f>
        <v>0</v>
      </c>
      <c r="H16" s="108">
        <f>IF(AND($M$3-tblInvoices[[#This Row],[Due Date]]&gt;=31,$M$3-tblInvoices[[#This Row],[Due Date]]&lt;=60),tblInvoices[[#This Row],[Invoice Amount]],0)</f>
        <v>0</v>
      </c>
      <c r="I16" s="123">
        <f>IF(AND($M$3-tblInvoices[[#This Row],[Due Date]]&gt;=61,$M$3-tblInvoices[[#This Row],[Due Date]]&lt;=90),tblInvoices[[#This Row],[Invoice Amount]],0)</f>
        <v>0</v>
      </c>
      <c r="J16" s="108">
        <f>IF($M$3-tblInvoices[[#This Row],[Due Date]]&gt;=91,tblInvoices[[#This Row],[Invoice Amount]],0)</f>
        <v>417</v>
      </c>
    </row>
    <row r="17" ht="14.25" customHeight="1">
      <c r="A17" s="113" t="s">
        <v>25</v>
      </c>
      <c r="B17" s="115">
        <v>114</v>
      </c>
      <c r="C17" s="117">
        <v>46149</v>
      </c>
      <c r="D17" s="120">
        <f>tblInvoices[[#This Row],[Invoice Date]]+30</f>
        <v>46179</v>
      </c>
      <c r="E17" s="123">
        <v>858</v>
      </c>
      <c r="F17" s="108">
        <f>IF($M$3&gt;tblInvoices[[#This Row],[Due Date]],tblInvoices[[#This Row],[Invoice Amount]],0)</f>
        <v>858</v>
      </c>
      <c r="G17" s="123">
        <f>IF(AND($M$3-tblInvoices[[#This Row],[Due Date]]&gt;=1,$M$3-tblInvoices[[#This Row],[Due Date]]&lt;=30),tblInvoices[[#This Row],[Invoice Amount]],0)</f>
        <v>858</v>
      </c>
      <c r="H17" s="108">
        <f>IF(AND($M$3-tblInvoices[[#This Row],[Due Date]]&gt;=31,$M$3-tblInvoices[[#This Row],[Due Date]]&lt;=60),tblInvoices[[#This Row],[Invoice Amount]],0)</f>
        <v>0</v>
      </c>
      <c r="I17" s="123">
        <f>IF(AND($M$3-tblInvoices[[#This Row],[Due Date]]&gt;=61,$M$3-tblInvoices[[#This Row],[Due Date]]&lt;=90),tblInvoices[[#This Row],[Invoice Amount]],0)</f>
        <v>0</v>
      </c>
      <c r="J17" s="108">
        <f>IF($M$3-tblInvoices[[#This Row],[Due Date]]&gt;=91,tblInvoices[[#This Row],[Invoice Amount]],0)</f>
        <v>0</v>
      </c>
    </row>
    <row r="18" ht="14.25" customHeight="1">
      <c r="A18" s="113" t="s">
        <v>41</v>
      </c>
      <c r="B18" s="115">
        <v>115</v>
      </c>
      <c r="C18" s="117">
        <v>46119</v>
      </c>
      <c r="D18" s="120">
        <f>tblInvoices[[#This Row],[Invoice Date]]+30</f>
        <v>46149</v>
      </c>
      <c r="E18" s="123">
        <v>378</v>
      </c>
      <c r="F18" s="108">
        <f>IF($M$3&gt;tblInvoices[[#This Row],[Due Date]],tblInvoices[[#This Row],[Invoice Amount]],0)</f>
        <v>378</v>
      </c>
      <c r="G18" s="123">
        <f>IF(AND($M$3-tblInvoices[[#This Row],[Due Date]]&gt;=1,$M$3-tblInvoices[[#This Row],[Due Date]]&lt;=30),tblInvoices[[#This Row],[Invoice Amount]],0)</f>
        <v>0</v>
      </c>
      <c r="H18" s="108">
        <f>IF(AND($M$3-tblInvoices[[#This Row],[Due Date]]&gt;=31,$M$3-tblInvoices[[#This Row],[Due Date]]&lt;=60),tblInvoices[[#This Row],[Invoice Amount]],0)</f>
        <v>378</v>
      </c>
      <c r="I18" s="123">
        <f>IF(AND($M$3-tblInvoices[[#This Row],[Due Date]]&gt;=61,$M$3-tblInvoices[[#This Row],[Due Date]]&lt;=90),tblInvoices[[#This Row],[Invoice Amount]],0)</f>
        <v>0</v>
      </c>
      <c r="J18" s="108">
        <f>IF($M$3-tblInvoices[[#This Row],[Due Date]]&gt;=91,tblInvoices[[#This Row],[Invoice Amount]],0)</f>
        <v>0</v>
      </c>
    </row>
    <row r="19" ht="14.25" customHeight="1">
      <c r="A19" s="113" t="s">
        <v>38</v>
      </c>
      <c r="B19" s="115">
        <v>116</v>
      </c>
      <c r="C19" s="117">
        <v>46069</v>
      </c>
      <c r="D19" s="120">
        <f>tblInvoices[[#This Row],[Invoice Date]]+30</f>
        <v>46099</v>
      </c>
      <c r="E19" s="123">
        <v>737</v>
      </c>
      <c r="F19" s="108">
        <f>IF($M$3&gt;tblInvoices[[#This Row],[Due Date]],tblInvoices[[#This Row],[Invoice Amount]],0)</f>
        <v>737</v>
      </c>
      <c r="G19" s="123">
        <f>IF(AND($M$3-tblInvoices[[#This Row],[Due Date]]&gt;=1,$M$3-tblInvoices[[#This Row],[Due Date]]&lt;=30),tblInvoices[[#This Row],[Invoice Amount]],0)</f>
        <v>0</v>
      </c>
      <c r="H19" s="108">
        <f>IF(AND($M$3-tblInvoices[[#This Row],[Due Date]]&gt;=31,$M$3-tblInvoices[[#This Row],[Due Date]]&lt;=60),tblInvoices[[#This Row],[Invoice Amount]],0)</f>
        <v>0</v>
      </c>
      <c r="I19" s="123">
        <f>IF(AND($M$3-tblInvoices[[#This Row],[Due Date]]&gt;=61,$M$3-tblInvoices[[#This Row],[Due Date]]&lt;=90),tblInvoices[[#This Row],[Invoice Amount]],0)</f>
        <v>0</v>
      </c>
      <c r="J19" s="108">
        <f>IF($M$3-tblInvoices[[#This Row],[Due Date]]&gt;=91,tblInvoices[[#This Row],[Invoice Amount]],0)</f>
        <v>737</v>
      </c>
    </row>
    <row r="20" ht="14.25" customHeight="1">
      <c r="A20" s="113" t="s">
        <v>25</v>
      </c>
      <c r="B20" s="115">
        <v>117</v>
      </c>
      <c r="C20" s="117">
        <v>46140</v>
      </c>
      <c r="D20" s="120">
        <f>tblInvoices[[#This Row],[Invoice Date]]+30</f>
        <v>46170</v>
      </c>
      <c r="E20" s="123">
        <v>970</v>
      </c>
      <c r="F20" s="108">
        <f>IF($M$3&gt;tblInvoices[[#This Row],[Due Date]],tblInvoices[[#This Row],[Invoice Amount]],0)</f>
        <v>970</v>
      </c>
      <c r="G20" s="123">
        <f>IF(AND($M$3-tblInvoices[[#This Row],[Due Date]]&gt;=1,$M$3-tblInvoices[[#This Row],[Due Date]]&lt;=30),tblInvoices[[#This Row],[Invoice Amount]],0)</f>
        <v>0</v>
      </c>
      <c r="H20" s="108">
        <f>IF(AND($M$3-tblInvoices[[#This Row],[Due Date]]&gt;=31,$M$3-tblInvoices[[#This Row],[Due Date]]&lt;=60),tblInvoices[[#This Row],[Invoice Amount]],0)</f>
        <v>970</v>
      </c>
      <c r="I20" s="123">
        <f>IF(AND($M$3-tblInvoices[[#This Row],[Due Date]]&gt;=61,$M$3-tblInvoices[[#This Row],[Due Date]]&lt;=90),tblInvoices[[#This Row],[Invoice Amount]],0)</f>
        <v>0</v>
      </c>
      <c r="J20" s="108">
        <f>IF($M$3-tblInvoices[[#This Row],[Due Date]]&gt;=91,tblInvoices[[#This Row],[Invoice Amount]],0)</f>
        <v>0</v>
      </c>
    </row>
    <row r="21" ht="14.25" customHeight="1">
      <c r="A21" s="113" t="s">
        <v>43</v>
      </c>
      <c r="B21" s="115">
        <v>118</v>
      </c>
      <c r="C21" s="117">
        <v>46139</v>
      </c>
      <c r="D21" s="120">
        <f>tblInvoices[[#This Row],[Invoice Date]]+30</f>
        <v>46169</v>
      </c>
      <c r="E21" s="123">
        <v>544</v>
      </c>
      <c r="F21" s="108">
        <f>IF($M$3&gt;tblInvoices[[#This Row],[Due Date]],tblInvoices[[#This Row],[Invoice Amount]],0)</f>
        <v>544</v>
      </c>
      <c r="G21" s="123">
        <f>IF(AND($M$3-tblInvoices[[#This Row],[Due Date]]&gt;=1,$M$3-tblInvoices[[#This Row],[Due Date]]&lt;=30),tblInvoices[[#This Row],[Invoice Amount]],0)</f>
        <v>0</v>
      </c>
      <c r="H21" s="108">
        <f>IF(AND($M$3-tblInvoices[[#This Row],[Due Date]]&gt;=31,$M$3-tblInvoices[[#This Row],[Due Date]]&lt;=60),tblInvoices[[#This Row],[Invoice Amount]],0)</f>
        <v>544</v>
      </c>
      <c r="I21" s="123">
        <f>IF(AND($M$3-tblInvoices[[#This Row],[Due Date]]&gt;=61,$M$3-tblInvoices[[#This Row],[Due Date]]&lt;=90),tblInvoices[[#This Row],[Invoice Amount]],0)</f>
        <v>0</v>
      </c>
      <c r="J21" s="108">
        <f>IF($M$3-tblInvoices[[#This Row],[Due Date]]&gt;=91,tblInvoices[[#This Row],[Invoice Amount]],0)</f>
        <v>0</v>
      </c>
    </row>
    <row r="22" ht="14.25" customHeight="1">
      <c r="A22" s="113" t="s">
        <v>35</v>
      </c>
      <c r="B22" s="115">
        <v>119</v>
      </c>
      <c r="C22" s="117">
        <v>46096</v>
      </c>
      <c r="D22" s="120">
        <f>tblInvoices[[#This Row],[Invoice Date]]+30</f>
        <v>46126</v>
      </c>
      <c r="E22" s="123">
        <v>445</v>
      </c>
      <c r="F22" s="108">
        <f>IF($M$3&gt;tblInvoices[[#This Row],[Due Date]],tblInvoices[[#This Row],[Invoice Amount]],0)</f>
        <v>445</v>
      </c>
      <c r="G22" s="123">
        <f>IF(AND($M$3-tblInvoices[[#This Row],[Due Date]]&gt;=1,$M$3-tblInvoices[[#This Row],[Due Date]]&lt;=30),tblInvoices[[#This Row],[Invoice Amount]],0)</f>
        <v>0</v>
      </c>
      <c r="H22" s="108">
        <f>IF(AND($M$3-tblInvoices[[#This Row],[Due Date]]&gt;=31,$M$3-tblInvoices[[#This Row],[Due Date]]&lt;=60),tblInvoices[[#This Row],[Invoice Amount]],0)</f>
        <v>0</v>
      </c>
      <c r="I22" s="123">
        <f>IF(AND($M$3-tblInvoices[[#This Row],[Due Date]]&gt;=61,$M$3-tblInvoices[[#This Row],[Due Date]]&lt;=90),tblInvoices[[#This Row],[Invoice Amount]],0)</f>
        <v>445</v>
      </c>
      <c r="J22" s="108">
        <f>IF($M$3-tblInvoices[[#This Row],[Due Date]]&gt;=91,tblInvoices[[#This Row],[Invoice Amount]],0)</f>
        <v>0</v>
      </c>
    </row>
    <row r="23" ht="14.25" customHeight="1">
      <c r="A23" s="113" t="s">
        <v>28</v>
      </c>
      <c r="B23" s="115">
        <v>120</v>
      </c>
      <c r="C23" s="117">
        <v>46120</v>
      </c>
      <c r="D23" s="120">
        <f>tblInvoices[[#This Row],[Invoice Date]]+30</f>
        <v>46150</v>
      </c>
      <c r="E23" s="123">
        <v>444</v>
      </c>
      <c r="F23" s="108">
        <f>IF($M$3&gt;tblInvoices[[#This Row],[Due Date]],tblInvoices[[#This Row],[Invoice Amount]],0)</f>
        <v>444</v>
      </c>
      <c r="G23" s="123">
        <f>IF(AND($M$3-tblInvoices[[#This Row],[Due Date]]&gt;=1,$M$3-tblInvoices[[#This Row],[Due Date]]&lt;=30),tblInvoices[[#This Row],[Invoice Amount]],0)</f>
        <v>0</v>
      </c>
      <c r="H23" s="108">
        <f>IF(AND($M$3-tblInvoices[[#This Row],[Due Date]]&gt;=31,$M$3-tblInvoices[[#This Row],[Due Date]]&lt;=60),tblInvoices[[#This Row],[Invoice Amount]],0)</f>
        <v>444</v>
      </c>
      <c r="I23" s="123">
        <f>IF(AND($M$3-tblInvoices[[#This Row],[Due Date]]&gt;=61,$M$3-tblInvoices[[#This Row],[Due Date]]&lt;=90),tblInvoices[[#This Row],[Invoice Amount]],0)</f>
        <v>0</v>
      </c>
      <c r="J23" s="108">
        <f>IF($M$3-tblInvoices[[#This Row],[Due Date]]&gt;=91,tblInvoices[[#This Row],[Invoice Amount]],0)</f>
        <v>0</v>
      </c>
    </row>
    <row r="24" ht="14.25" customHeight="1">
      <c r="A24" s="113" t="s">
        <v>19</v>
      </c>
      <c r="B24" s="115">
        <v>121</v>
      </c>
      <c r="C24" s="117">
        <v>46114</v>
      </c>
      <c r="D24" s="120">
        <f>tblInvoices[[#This Row],[Invoice Date]]+30</f>
        <v>46144</v>
      </c>
      <c r="E24" s="123">
        <v>798</v>
      </c>
      <c r="F24" s="108">
        <f>IF($M$3&gt;tblInvoices[[#This Row],[Due Date]],tblInvoices[[#This Row],[Invoice Amount]],0)</f>
        <v>798</v>
      </c>
      <c r="G24" s="123">
        <f>IF(AND($M$3-tblInvoices[[#This Row],[Due Date]]&gt;=1,$M$3-tblInvoices[[#This Row],[Due Date]]&lt;=30),tblInvoices[[#This Row],[Invoice Amount]],0)</f>
        <v>0</v>
      </c>
      <c r="H24" s="108">
        <f>IF(AND($M$3-tblInvoices[[#This Row],[Due Date]]&gt;=31,$M$3-tblInvoices[[#This Row],[Due Date]]&lt;=60),tblInvoices[[#This Row],[Invoice Amount]],0)</f>
        <v>798</v>
      </c>
      <c r="I24" s="123">
        <f>IF(AND($M$3-tblInvoices[[#This Row],[Due Date]]&gt;=61,$M$3-tblInvoices[[#This Row],[Due Date]]&lt;=90),tblInvoices[[#This Row],[Invoice Amount]],0)</f>
        <v>0</v>
      </c>
      <c r="J24" s="108">
        <f>IF($M$3-tblInvoices[[#This Row],[Due Date]]&gt;=91,tblInvoices[[#This Row],[Invoice Amount]],0)</f>
        <v>0</v>
      </c>
    </row>
    <row r="25" ht="14.25" customHeight="1">
      <c r="A25" s="113" t="s">
        <v>26</v>
      </c>
      <c r="B25" s="115">
        <v>122</v>
      </c>
      <c r="C25" s="117">
        <v>46157</v>
      </c>
      <c r="D25" s="120">
        <f>tblInvoices[[#This Row],[Invoice Date]]+30</f>
        <v>46187</v>
      </c>
      <c r="E25" s="123">
        <v>569</v>
      </c>
      <c r="F25" s="108">
        <f>IF($M$3&gt;tblInvoices[[#This Row],[Due Date]],tblInvoices[[#This Row],[Invoice Amount]],0)</f>
        <v>569</v>
      </c>
      <c r="G25" s="123">
        <f>IF(AND($M$3-tblInvoices[[#This Row],[Due Date]]&gt;=1,$M$3-tblInvoices[[#This Row],[Due Date]]&lt;=30),tblInvoices[[#This Row],[Invoice Amount]],0)</f>
        <v>569</v>
      </c>
      <c r="H25" s="108">
        <f>IF(AND($M$3-tblInvoices[[#This Row],[Due Date]]&gt;=31,$M$3-tblInvoices[[#This Row],[Due Date]]&lt;=60),tblInvoices[[#This Row],[Invoice Amount]],0)</f>
        <v>0</v>
      </c>
      <c r="I25" s="123">
        <f>IF(AND($M$3-tblInvoices[[#This Row],[Due Date]]&gt;=61,$M$3-tblInvoices[[#This Row],[Due Date]]&lt;=90),tblInvoices[[#This Row],[Invoice Amount]],0)</f>
        <v>0</v>
      </c>
      <c r="J25" s="108">
        <f>IF($M$3-tblInvoices[[#This Row],[Due Date]]&gt;=91,tblInvoices[[#This Row],[Invoice Amount]],0)</f>
        <v>0</v>
      </c>
    </row>
    <row r="26" ht="14.25" customHeight="1">
      <c r="A26" s="113" t="s">
        <v>43</v>
      </c>
      <c r="B26" s="115">
        <v>123</v>
      </c>
      <c r="C26" s="117">
        <v>46123</v>
      </c>
      <c r="D26" s="120">
        <f>tblInvoices[[#This Row],[Invoice Date]]+30</f>
        <v>46153</v>
      </c>
      <c r="E26" s="123">
        <v>903</v>
      </c>
      <c r="F26" s="108">
        <f>IF($M$3&gt;tblInvoices[[#This Row],[Due Date]],tblInvoices[[#This Row],[Invoice Amount]],0)</f>
        <v>903</v>
      </c>
      <c r="G26" s="123">
        <f>IF(AND($M$3-tblInvoices[[#This Row],[Due Date]]&gt;=1,$M$3-tblInvoices[[#This Row],[Due Date]]&lt;=30),tblInvoices[[#This Row],[Invoice Amount]],0)</f>
        <v>0</v>
      </c>
      <c r="H26" s="108">
        <f>IF(AND($M$3-tblInvoices[[#This Row],[Due Date]]&gt;=31,$M$3-tblInvoices[[#This Row],[Due Date]]&lt;=60),tblInvoices[[#This Row],[Invoice Amount]],0)</f>
        <v>903</v>
      </c>
      <c r="I26" s="123">
        <f>IF(AND($M$3-tblInvoices[[#This Row],[Due Date]]&gt;=61,$M$3-tblInvoices[[#This Row],[Due Date]]&lt;=90),tblInvoices[[#This Row],[Invoice Amount]],0)</f>
        <v>0</v>
      </c>
      <c r="J26" s="108">
        <f>IF($M$3-tblInvoices[[#This Row],[Due Date]]&gt;=91,tblInvoices[[#This Row],[Invoice Amount]],0)</f>
        <v>0</v>
      </c>
    </row>
    <row r="27" ht="14.25" customHeight="1">
      <c r="A27" s="113" t="s">
        <v>39</v>
      </c>
      <c r="B27" s="115">
        <v>124</v>
      </c>
      <c r="C27" s="117">
        <v>46157</v>
      </c>
      <c r="D27" s="120">
        <f>tblInvoices[[#This Row],[Invoice Date]]+30</f>
        <v>46187</v>
      </c>
      <c r="E27" s="123">
        <v>430</v>
      </c>
      <c r="F27" s="108">
        <f>IF($M$3&gt;tblInvoices[[#This Row],[Due Date]],tblInvoices[[#This Row],[Invoice Amount]],0)</f>
        <v>430</v>
      </c>
      <c r="G27" s="123">
        <f>IF(AND($M$3-tblInvoices[[#This Row],[Due Date]]&gt;=1,$M$3-tblInvoices[[#This Row],[Due Date]]&lt;=30),tblInvoices[[#This Row],[Invoice Amount]],0)</f>
        <v>430</v>
      </c>
      <c r="H27" s="108">
        <f>IF(AND($M$3-tblInvoices[[#This Row],[Due Date]]&gt;=31,$M$3-tblInvoices[[#This Row],[Due Date]]&lt;=60),tblInvoices[[#This Row],[Invoice Amount]],0)</f>
        <v>0</v>
      </c>
      <c r="I27" s="123">
        <f>IF(AND($M$3-tblInvoices[[#This Row],[Due Date]]&gt;=61,$M$3-tblInvoices[[#This Row],[Due Date]]&lt;=90),tblInvoices[[#This Row],[Invoice Amount]],0)</f>
        <v>0</v>
      </c>
      <c r="J27" s="108">
        <f>IF($M$3-tblInvoices[[#This Row],[Due Date]]&gt;=91,tblInvoices[[#This Row],[Invoice Amount]],0)</f>
        <v>0</v>
      </c>
    </row>
    <row r="28" ht="14.25" customHeight="1">
      <c r="A28" s="113" t="s">
        <v>41</v>
      </c>
      <c r="B28" s="115">
        <v>125</v>
      </c>
      <c r="C28" s="117">
        <v>46128</v>
      </c>
      <c r="D28" s="120">
        <f>tblInvoices[[#This Row],[Invoice Date]]+30</f>
        <v>46158</v>
      </c>
      <c r="E28" s="123">
        <v>629</v>
      </c>
      <c r="F28" s="108">
        <f>IF($M$3&gt;tblInvoices[[#This Row],[Due Date]],tblInvoices[[#This Row],[Invoice Amount]],0)</f>
        <v>629</v>
      </c>
      <c r="G28" s="123">
        <f>IF(AND($M$3-tblInvoices[[#This Row],[Due Date]]&gt;=1,$M$3-tblInvoices[[#This Row],[Due Date]]&lt;=30),tblInvoices[[#This Row],[Invoice Amount]],0)</f>
        <v>0</v>
      </c>
      <c r="H28" s="108">
        <f>IF(AND($M$3-tblInvoices[[#This Row],[Due Date]]&gt;=31,$M$3-tblInvoices[[#This Row],[Due Date]]&lt;=60),tblInvoices[[#This Row],[Invoice Amount]],0)</f>
        <v>629</v>
      </c>
      <c r="I28" s="123">
        <f>IF(AND($M$3-tblInvoices[[#This Row],[Due Date]]&gt;=61,$M$3-tblInvoices[[#This Row],[Due Date]]&lt;=90),tblInvoices[[#This Row],[Invoice Amount]],0)</f>
        <v>0</v>
      </c>
      <c r="J28" s="108">
        <f>IF($M$3-tblInvoices[[#This Row],[Due Date]]&gt;=91,tblInvoices[[#This Row],[Invoice Amount]],0)</f>
        <v>0</v>
      </c>
    </row>
    <row r="29" ht="14.25" customHeight="1">
      <c r="A29" s="113" t="s">
        <v>18</v>
      </c>
      <c r="B29" s="115">
        <v>126</v>
      </c>
      <c r="C29" s="117">
        <v>46148</v>
      </c>
      <c r="D29" s="120">
        <f>tblInvoices[[#This Row],[Invoice Date]]+30</f>
        <v>46178</v>
      </c>
      <c r="E29" s="123">
        <v>376</v>
      </c>
      <c r="F29" s="108">
        <f>IF($M$3&gt;tblInvoices[[#This Row],[Due Date]],tblInvoices[[#This Row],[Invoice Amount]],0)</f>
        <v>376</v>
      </c>
      <c r="G29" s="123">
        <f>IF(AND($M$3-tblInvoices[[#This Row],[Due Date]]&gt;=1,$M$3-tblInvoices[[#This Row],[Due Date]]&lt;=30),tblInvoices[[#This Row],[Invoice Amount]],0)</f>
        <v>376</v>
      </c>
      <c r="H29" s="108">
        <f>IF(AND($M$3-tblInvoices[[#This Row],[Due Date]]&gt;=31,$M$3-tblInvoices[[#This Row],[Due Date]]&lt;=60),tblInvoices[[#This Row],[Invoice Amount]],0)</f>
        <v>0</v>
      </c>
      <c r="I29" s="123">
        <f>IF(AND($M$3-tblInvoices[[#This Row],[Due Date]]&gt;=61,$M$3-tblInvoices[[#This Row],[Due Date]]&lt;=90),tblInvoices[[#This Row],[Invoice Amount]],0)</f>
        <v>0</v>
      </c>
      <c r="J29" s="108">
        <f>IF($M$3-tblInvoices[[#This Row],[Due Date]]&gt;=91,tblInvoices[[#This Row],[Invoice Amount]],0)</f>
        <v>0</v>
      </c>
    </row>
    <row r="30" ht="14.25" customHeight="1">
      <c r="A30" s="113" t="s">
        <v>45</v>
      </c>
      <c r="B30" s="115">
        <v>127</v>
      </c>
      <c r="C30" s="117">
        <v>46101</v>
      </c>
      <c r="D30" s="120">
        <f>tblInvoices[[#This Row],[Invoice Date]]+30</f>
        <v>46131</v>
      </c>
      <c r="E30" s="123">
        <v>826</v>
      </c>
      <c r="F30" s="108">
        <f>IF($M$3&gt;tblInvoices[[#This Row],[Due Date]],tblInvoices[[#This Row],[Invoice Amount]],0)</f>
        <v>826</v>
      </c>
      <c r="G30" s="123">
        <f>IF(AND($M$3-tblInvoices[[#This Row],[Due Date]]&gt;=1,$M$3-tblInvoices[[#This Row],[Due Date]]&lt;=30),tblInvoices[[#This Row],[Invoice Amount]],0)</f>
        <v>0</v>
      </c>
      <c r="H30" s="108">
        <f>IF(AND($M$3-tblInvoices[[#This Row],[Due Date]]&gt;=31,$M$3-tblInvoices[[#This Row],[Due Date]]&lt;=60),tblInvoices[[#This Row],[Invoice Amount]],0)</f>
        <v>0</v>
      </c>
      <c r="I30" s="123">
        <f>IF(AND($M$3-tblInvoices[[#This Row],[Due Date]]&gt;=61,$M$3-tblInvoices[[#This Row],[Due Date]]&lt;=90),tblInvoices[[#This Row],[Invoice Amount]],0)</f>
        <v>826</v>
      </c>
      <c r="J30" s="108">
        <f>IF($M$3-tblInvoices[[#This Row],[Due Date]]&gt;=91,tblInvoices[[#This Row],[Invoice Amount]],0)</f>
        <v>0</v>
      </c>
    </row>
    <row r="31" ht="14.25" customHeight="1">
      <c r="A31" s="113" t="s">
        <v>39</v>
      </c>
      <c r="B31" s="115">
        <v>128</v>
      </c>
      <c r="C31" s="117">
        <v>46114</v>
      </c>
      <c r="D31" s="120">
        <f>tblInvoices[[#This Row],[Invoice Date]]+30</f>
        <v>46144</v>
      </c>
      <c r="E31" s="123">
        <v>548</v>
      </c>
      <c r="F31" s="108">
        <f>IF($M$3&gt;tblInvoices[[#This Row],[Due Date]],tblInvoices[[#This Row],[Invoice Amount]],0)</f>
        <v>548</v>
      </c>
      <c r="G31" s="123">
        <f>IF(AND($M$3-tblInvoices[[#This Row],[Due Date]]&gt;=1,$M$3-tblInvoices[[#This Row],[Due Date]]&lt;=30),tblInvoices[[#This Row],[Invoice Amount]],0)</f>
        <v>0</v>
      </c>
      <c r="H31" s="108">
        <f>IF(AND($M$3-tblInvoices[[#This Row],[Due Date]]&gt;=31,$M$3-tblInvoices[[#This Row],[Due Date]]&lt;=60),tblInvoices[[#This Row],[Invoice Amount]],0)</f>
        <v>548</v>
      </c>
      <c r="I31" s="123">
        <f>IF(AND($M$3-tblInvoices[[#This Row],[Due Date]]&gt;=61,$M$3-tblInvoices[[#This Row],[Due Date]]&lt;=90),tblInvoices[[#This Row],[Invoice Amount]],0)</f>
        <v>0</v>
      </c>
      <c r="J31" s="108">
        <f>IF($M$3-tblInvoices[[#This Row],[Due Date]]&gt;=91,tblInvoices[[#This Row],[Invoice Amount]],0)</f>
        <v>0</v>
      </c>
    </row>
    <row r="32" ht="14.25" customHeight="1">
      <c r="A32" s="113" t="s">
        <v>24</v>
      </c>
      <c r="B32" s="115">
        <v>129</v>
      </c>
      <c r="C32" s="117">
        <v>46113</v>
      </c>
      <c r="D32" s="120">
        <f>tblInvoices[[#This Row],[Invoice Date]]+30</f>
        <v>46143</v>
      </c>
      <c r="E32" s="123">
        <v>807</v>
      </c>
      <c r="F32" s="108">
        <f>IF($M$3&gt;tblInvoices[[#This Row],[Due Date]],tblInvoices[[#This Row],[Invoice Amount]],0)</f>
        <v>807</v>
      </c>
      <c r="G32" s="123">
        <f>IF(AND($M$3-tblInvoices[[#This Row],[Due Date]]&gt;=1,$M$3-tblInvoices[[#This Row],[Due Date]]&lt;=30),tblInvoices[[#This Row],[Invoice Amount]],0)</f>
        <v>0</v>
      </c>
      <c r="H32" s="108">
        <f>IF(AND($M$3-tblInvoices[[#This Row],[Due Date]]&gt;=31,$M$3-tblInvoices[[#This Row],[Due Date]]&lt;=60),tblInvoices[[#This Row],[Invoice Amount]],0)</f>
        <v>0</v>
      </c>
      <c r="I32" s="123">
        <f>IF(AND($M$3-tblInvoices[[#This Row],[Due Date]]&gt;=61,$M$3-tblInvoices[[#This Row],[Due Date]]&lt;=90),tblInvoices[[#This Row],[Invoice Amount]],0)</f>
        <v>807</v>
      </c>
      <c r="J32" s="108">
        <f>IF($M$3-tblInvoices[[#This Row],[Due Date]]&gt;=91,tblInvoices[[#This Row],[Invoice Amount]],0)</f>
        <v>0</v>
      </c>
    </row>
    <row r="33" ht="14.25" customHeight="1">
      <c r="A33" s="113" t="s">
        <v>32</v>
      </c>
      <c r="B33" s="115">
        <v>130</v>
      </c>
      <c r="C33" s="117">
        <v>46118</v>
      </c>
      <c r="D33" s="120">
        <f>tblInvoices[[#This Row],[Invoice Date]]+30</f>
        <v>46148</v>
      </c>
      <c r="E33" s="123">
        <v>654</v>
      </c>
      <c r="F33" s="108">
        <f>IF($M$3&gt;tblInvoices[[#This Row],[Due Date]],tblInvoices[[#This Row],[Invoice Amount]],0)</f>
        <v>654</v>
      </c>
      <c r="G33" s="123">
        <f>IF(AND($M$3-tblInvoices[[#This Row],[Due Date]]&gt;=1,$M$3-tblInvoices[[#This Row],[Due Date]]&lt;=30),tblInvoices[[#This Row],[Invoice Amount]],0)</f>
        <v>0</v>
      </c>
      <c r="H33" s="108">
        <f>IF(AND($M$3-tblInvoices[[#This Row],[Due Date]]&gt;=31,$M$3-tblInvoices[[#This Row],[Due Date]]&lt;=60),tblInvoices[[#This Row],[Invoice Amount]],0)</f>
        <v>654</v>
      </c>
      <c r="I33" s="123">
        <f>IF(AND($M$3-tblInvoices[[#This Row],[Due Date]]&gt;=61,$M$3-tblInvoices[[#This Row],[Due Date]]&lt;=90),tblInvoices[[#This Row],[Invoice Amount]],0)</f>
        <v>0</v>
      </c>
      <c r="J33" s="108">
        <f>IF($M$3-tblInvoices[[#This Row],[Due Date]]&gt;=91,tblInvoices[[#This Row],[Invoice Amount]],0)</f>
        <v>0</v>
      </c>
    </row>
    <row r="34" ht="14.25" customHeight="1">
      <c r="A34" s="113" t="s">
        <v>28</v>
      </c>
      <c r="B34" s="115">
        <v>131</v>
      </c>
      <c r="C34" s="117">
        <v>46107</v>
      </c>
      <c r="D34" s="120">
        <f>tblInvoices[[#This Row],[Invoice Date]]+30</f>
        <v>46137</v>
      </c>
      <c r="E34" s="123">
        <v>396</v>
      </c>
      <c r="F34" s="108">
        <f>IF($M$3&gt;tblInvoices[[#This Row],[Due Date]],tblInvoices[[#This Row],[Invoice Amount]],0)</f>
        <v>396</v>
      </c>
      <c r="G34" s="123">
        <f>IF(AND($M$3-tblInvoices[[#This Row],[Due Date]]&gt;=1,$M$3-tblInvoices[[#This Row],[Due Date]]&lt;=30),tblInvoices[[#This Row],[Invoice Amount]],0)</f>
        <v>0</v>
      </c>
      <c r="H34" s="108">
        <f>IF(AND($M$3-tblInvoices[[#This Row],[Due Date]]&gt;=31,$M$3-tblInvoices[[#This Row],[Due Date]]&lt;=60),tblInvoices[[#This Row],[Invoice Amount]],0)</f>
        <v>0</v>
      </c>
      <c r="I34" s="123">
        <f>IF(AND($M$3-tblInvoices[[#This Row],[Due Date]]&gt;=61,$M$3-tblInvoices[[#This Row],[Due Date]]&lt;=90),tblInvoices[[#This Row],[Invoice Amount]],0)</f>
        <v>396</v>
      </c>
      <c r="J34" s="108">
        <f>IF($M$3-tblInvoices[[#This Row],[Due Date]]&gt;=91,tblInvoices[[#This Row],[Invoice Amount]],0)</f>
        <v>0</v>
      </c>
    </row>
    <row r="35" ht="14.25" customHeight="1">
      <c r="A35" s="113" t="s">
        <v>61</v>
      </c>
      <c r="B35" s="115">
        <v>132</v>
      </c>
      <c r="C35" s="117">
        <v>46190</v>
      </c>
      <c r="D35" s="120">
        <f>tblInvoices[[#This Row],[Invoice Date]]+30</f>
        <v>46220</v>
      </c>
      <c r="E35" s="123">
        <v>871</v>
      </c>
      <c r="F35" s="108">
        <f>IF($M$3&gt;tblInvoices[[#This Row],[Due Date]],tblInvoices[[#This Row],[Invoice Amount]],0)</f>
        <v>0</v>
      </c>
      <c r="G35" s="123">
        <f>IF(AND($M$3-tblInvoices[[#This Row],[Due Date]]&gt;=1,$M$3-tblInvoices[[#This Row],[Due Date]]&lt;=30),tblInvoices[[#This Row],[Invoice Amount]],0)</f>
        <v>0</v>
      </c>
      <c r="H35" s="108">
        <f>IF(AND($M$3-tblInvoices[[#This Row],[Due Date]]&gt;=31,$M$3-tblInvoices[[#This Row],[Due Date]]&lt;=60),tblInvoices[[#This Row],[Invoice Amount]],0)</f>
        <v>0</v>
      </c>
      <c r="I35" s="123">
        <f>IF(AND($M$3-tblInvoices[[#This Row],[Due Date]]&gt;=61,$M$3-tblInvoices[[#This Row],[Due Date]]&lt;=90),tblInvoices[[#This Row],[Invoice Amount]],0)</f>
        <v>0</v>
      </c>
      <c r="J35" s="108">
        <f>IF($M$3-tblInvoices[[#This Row],[Due Date]]&gt;=91,tblInvoices[[#This Row],[Invoice Amount]],0)</f>
        <v>0</v>
      </c>
    </row>
    <row r="36" ht="14.25" customHeight="1">
      <c r="A36" s="113" t="s">
        <v>39</v>
      </c>
      <c r="B36" s="115">
        <v>133</v>
      </c>
      <c r="C36" s="117">
        <v>46167</v>
      </c>
      <c r="D36" s="120">
        <f>tblInvoices[[#This Row],[Invoice Date]]+30</f>
        <v>46197</v>
      </c>
      <c r="E36" s="123">
        <v>914</v>
      </c>
      <c r="F36" s="108">
        <f>IF($M$3&gt;tblInvoices[[#This Row],[Due Date]],tblInvoices[[#This Row],[Invoice Amount]],0)</f>
        <v>914</v>
      </c>
      <c r="G36" s="123">
        <f>IF(AND($M$3-tblInvoices[[#This Row],[Due Date]]&gt;=1,$M$3-tblInvoices[[#This Row],[Due Date]]&lt;=30),tblInvoices[[#This Row],[Invoice Amount]],0)</f>
        <v>914</v>
      </c>
      <c r="H36" s="108">
        <f>IF(AND($M$3-tblInvoices[[#This Row],[Due Date]]&gt;=31,$M$3-tblInvoices[[#This Row],[Due Date]]&lt;=60),tblInvoices[[#This Row],[Invoice Amount]],0)</f>
        <v>0</v>
      </c>
      <c r="I36" s="123">
        <f>IF(AND($M$3-tblInvoices[[#This Row],[Due Date]]&gt;=61,$M$3-tblInvoices[[#This Row],[Due Date]]&lt;=90),tblInvoices[[#This Row],[Invoice Amount]],0)</f>
        <v>0</v>
      </c>
      <c r="J36" s="108">
        <f>IF($M$3-tblInvoices[[#This Row],[Due Date]]&gt;=91,tblInvoices[[#This Row],[Invoice Amount]],0)</f>
        <v>0</v>
      </c>
    </row>
    <row r="37" ht="14.25" customHeight="1">
      <c r="A37" s="113" t="s">
        <v>44</v>
      </c>
      <c r="B37" s="115">
        <v>134</v>
      </c>
      <c r="C37" s="117">
        <v>46154</v>
      </c>
      <c r="D37" s="120">
        <f>tblInvoices[[#This Row],[Invoice Date]]+30</f>
        <v>46184</v>
      </c>
      <c r="E37" s="123">
        <v>772</v>
      </c>
      <c r="F37" s="108">
        <f>IF($M$3&gt;tblInvoices[[#This Row],[Due Date]],tblInvoices[[#This Row],[Invoice Amount]],0)</f>
        <v>772</v>
      </c>
      <c r="G37" s="123">
        <f>IF(AND($M$3-tblInvoices[[#This Row],[Due Date]]&gt;=1,$M$3-tblInvoices[[#This Row],[Due Date]]&lt;=30),tblInvoices[[#This Row],[Invoice Amount]],0)</f>
        <v>772</v>
      </c>
      <c r="H37" s="108">
        <f>IF(AND($M$3-tblInvoices[[#This Row],[Due Date]]&gt;=31,$M$3-tblInvoices[[#This Row],[Due Date]]&lt;=60),tblInvoices[[#This Row],[Invoice Amount]],0)</f>
        <v>0</v>
      </c>
      <c r="I37" s="123">
        <f>IF(AND($M$3-tblInvoices[[#This Row],[Due Date]]&gt;=61,$M$3-tblInvoices[[#This Row],[Due Date]]&lt;=90),tblInvoices[[#This Row],[Invoice Amount]],0)</f>
        <v>0</v>
      </c>
      <c r="J37" s="108">
        <f>IF($M$3-tblInvoices[[#This Row],[Due Date]]&gt;=91,tblInvoices[[#This Row],[Invoice Amount]],0)</f>
        <v>0</v>
      </c>
    </row>
    <row r="38" ht="14.25" customHeight="1">
      <c r="A38" s="113" t="s">
        <v>48</v>
      </c>
      <c r="B38" s="115">
        <v>135</v>
      </c>
      <c r="C38" s="117">
        <v>46166</v>
      </c>
      <c r="D38" s="120">
        <f>tblInvoices[[#This Row],[Invoice Date]]+30</f>
        <v>46196</v>
      </c>
      <c r="E38" s="123">
        <v>628</v>
      </c>
      <c r="F38" s="108">
        <f>IF($M$3&gt;tblInvoices[[#This Row],[Due Date]],tblInvoices[[#This Row],[Invoice Amount]],0)</f>
        <v>628</v>
      </c>
      <c r="G38" s="123">
        <f>IF(AND($M$3-tblInvoices[[#This Row],[Due Date]]&gt;=1,$M$3-tblInvoices[[#This Row],[Due Date]]&lt;=30),tblInvoices[[#This Row],[Invoice Amount]],0)</f>
        <v>628</v>
      </c>
      <c r="H38" s="108">
        <f>IF(AND($M$3-tblInvoices[[#This Row],[Due Date]]&gt;=31,$M$3-tblInvoices[[#This Row],[Due Date]]&lt;=60),tblInvoices[[#This Row],[Invoice Amount]],0)</f>
        <v>0</v>
      </c>
      <c r="I38" s="123">
        <f>IF(AND($M$3-tblInvoices[[#This Row],[Due Date]]&gt;=61,$M$3-tblInvoices[[#This Row],[Due Date]]&lt;=90),tblInvoices[[#This Row],[Invoice Amount]],0)</f>
        <v>0</v>
      </c>
      <c r="J38" s="108">
        <f>IF($M$3-tblInvoices[[#This Row],[Due Date]]&gt;=91,tblInvoices[[#This Row],[Invoice Amount]],0)</f>
        <v>0</v>
      </c>
    </row>
    <row r="39" ht="14.25" customHeight="1">
      <c r="A39" s="113" t="s">
        <v>39</v>
      </c>
      <c r="B39" s="115">
        <v>136</v>
      </c>
      <c r="C39" s="117">
        <v>46184</v>
      </c>
      <c r="D39" s="120">
        <f>tblInvoices[[#This Row],[Invoice Date]]+30</f>
        <v>46214</v>
      </c>
      <c r="E39" s="123">
        <v>499</v>
      </c>
      <c r="F39" s="108">
        <f>IF($M$3&gt;tblInvoices[[#This Row],[Due Date]],tblInvoices[[#This Row],[Invoice Amount]],0)</f>
        <v>0</v>
      </c>
      <c r="G39" s="123">
        <f>IF(AND($M$3-tblInvoices[[#This Row],[Due Date]]&gt;=1,$M$3-tblInvoices[[#This Row],[Due Date]]&lt;=30),tblInvoices[[#This Row],[Invoice Amount]],0)</f>
        <v>0</v>
      </c>
      <c r="H39" s="108">
        <f>IF(AND($M$3-tblInvoices[[#This Row],[Due Date]]&gt;=31,$M$3-tblInvoices[[#This Row],[Due Date]]&lt;=60),tblInvoices[[#This Row],[Invoice Amount]],0)</f>
        <v>0</v>
      </c>
      <c r="I39" s="123">
        <f>IF(AND($M$3-tblInvoices[[#This Row],[Due Date]]&gt;=61,$M$3-tblInvoices[[#This Row],[Due Date]]&lt;=90),tblInvoices[[#This Row],[Invoice Amount]],0)</f>
        <v>0</v>
      </c>
      <c r="J39" s="108">
        <f>IF($M$3-tblInvoices[[#This Row],[Due Date]]&gt;=91,tblInvoices[[#This Row],[Invoice Amount]],0)</f>
        <v>0</v>
      </c>
    </row>
    <row r="40" ht="14.25" customHeight="1">
      <c r="A40" s="113" t="s">
        <v>39</v>
      </c>
      <c r="B40" s="115">
        <v>137</v>
      </c>
      <c r="C40" s="117">
        <v>46181</v>
      </c>
      <c r="D40" s="120">
        <f>tblInvoices[[#This Row],[Invoice Date]]+30</f>
        <v>46211</v>
      </c>
      <c r="E40" s="123">
        <v>777</v>
      </c>
      <c r="F40" s="108">
        <f>IF($M$3&gt;tblInvoices[[#This Row],[Due Date]],tblInvoices[[#This Row],[Invoice Amount]],0)</f>
        <v>0</v>
      </c>
      <c r="G40" s="123">
        <f>IF(AND($M$3-tblInvoices[[#This Row],[Due Date]]&gt;=1,$M$3-tblInvoices[[#This Row],[Due Date]]&lt;=30),tblInvoices[[#This Row],[Invoice Amount]],0)</f>
        <v>0</v>
      </c>
      <c r="H40" s="108">
        <f>IF(AND($M$3-tblInvoices[[#This Row],[Due Date]]&gt;=31,$M$3-tblInvoices[[#This Row],[Due Date]]&lt;=60),tblInvoices[[#This Row],[Invoice Amount]],0)</f>
        <v>0</v>
      </c>
      <c r="I40" s="123">
        <f>IF(AND($M$3-tblInvoices[[#This Row],[Due Date]]&gt;=61,$M$3-tblInvoices[[#This Row],[Due Date]]&lt;=90),tblInvoices[[#This Row],[Invoice Amount]],0)</f>
        <v>0</v>
      </c>
      <c r="J40" s="108">
        <f>IF($M$3-tblInvoices[[#This Row],[Due Date]]&gt;=91,tblInvoices[[#This Row],[Invoice Amount]],0)</f>
        <v>0</v>
      </c>
    </row>
    <row r="41" ht="14.25" customHeight="1">
      <c r="A41" s="113" t="s">
        <v>24</v>
      </c>
      <c r="B41" s="115">
        <v>138</v>
      </c>
      <c r="C41" s="117">
        <v>46120</v>
      </c>
      <c r="D41" s="120">
        <f>tblInvoices[[#This Row],[Invoice Date]]+30</f>
        <v>46150</v>
      </c>
      <c r="E41" s="123">
        <v>804</v>
      </c>
      <c r="F41" s="108">
        <f>IF($M$3&gt;tblInvoices[[#This Row],[Due Date]],tblInvoices[[#This Row],[Invoice Amount]],0)</f>
        <v>804</v>
      </c>
      <c r="G41" s="123">
        <f>IF(AND($M$3-tblInvoices[[#This Row],[Due Date]]&gt;=1,$M$3-tblInvoices[[#This Row],[Due Date]]&lt;=30),tblInvoices[[#This Row],[Invoice Amount]],0)</f>
        <v>0</v>
      </c>
      <c r="H41" s="108">
        <f>IF(AND($M$3-tblInvoices[[#This Row],[Due Date]]&gt;=31,$M$3-tblInvoices[[#This Row],[Due Date]]&lt;=60),tblInvoices[[#This Row],[Invoice Amount]],0)</f>
        <v>804</v>
      </c>
      <c r="I41" s="123">
        <f>IF(AND($M$3-tblInvoices[[#This Row],[Due Date]]&gt;=61,$M$3-tblInvoices[[#This Row],[Due Date]]&lt;=90),tblInvoices[[#This Row],[Invoice Amount]],0)</f>
        <v>0</v>
      </c>
      <c r="J41" s="108">
        <f>IF($M$3-tblInvoices[[#This Row],[Due Date]]&gt;=91,tblInvoices[[#This Row],[Invoice Amount]],0)</f>
        <v>0</v>
      </c>
    </row>
    <row r="42" ht="14.25" customHeight="1">
      <c r="A42" s="113" t="s">
        <v>18</v>
      </c>
      <c r="B42" s="115">
        <v>139</v>
      </c>
      <c r="C42" s="117">
        <v>46123</v>
      </c>
      <c r="D42" s="120">
        <f>tblInvoices[[#This Row],[Invoice Date]]+30</f>
        <v>46153</v>
      </c>
      <c r="E42" s="123">
        <v>575</v>
      </c>
      <c r="F42" s="108">
        <f>IF($M$3&gt;tblInvoices[[#This Row],[Due Date]],tblInvoices[[#This Row],[Invoice Amount]],0)</f>
        <v>575</v>
      </c>
      <c r="G42" s="123">
        <f>IF(AND($M$3-tblInvoices[[#This Row],[Due Date]]&gt;=1,$M$3-tblInvoices[[#This Row],[Due Date]]&lt;=30),tblInvoices[[#This Row],[Invoice Amount]],0)</f>
        <v>0</v>
      </c>
      <c r="H42" s="108">
        <f>IF(AND($M$3-tblInvoices[[#This Row],[Due Date]]&gt;=31,$M$3-tblInvoices[[#This Row],[Due Date]]&lt;=60),tblInvoices[[#This Row],[Invoice Amount]],0)</f>
        <v>575</v>
      </c>
      <c r="I42" s="123">
        <f>IF(AND($M$3-tblInvoices[[#This Row],[Due Date]]&gt;=61,$M$3-tblInvoices[[#This Row],[Due Date]]&lt;=90),tblInvoices[[#This Row],[Invoice Amount]],0)</f>
        <v>0</v>
      </c>
      <c r="J42" s="108">
        <f>IF($M$3-tblInvoices[[#This Row],[Due Date]]&gt;=91,tblInvoices[[#This Row],[Invoice Amount]],0)</f>
        <v>0</v>
      </c>
    </row>
    <row r="43" ht="14.25" customHeight="1">
      <c r="A43" s="113" t="s">
        <v>24</v>
      </c>
      <c r="B43" s="115">
        <v>140</v>
      </c>
      <c r="C43" s="117">
        <v>46101</v>
      </c>
      <c r="D43" s="120">
        <f>tblInvoices[[#This Row],[Invoice Date]]+30</f>
        <v>46131</v>
      </c>
      <c r="E43" s="123">
        <v>785</v>
      </c>
      <c r="F43" s="108">
        <f>IF($M$3&gt;tblInvoices[[#This Row],[Due Date]],tblInvoices[[#This Row],[Invoice Amount]],0)</f>
        <v>785</v>
      </c>
      <c r="G43" s="123">
        <f>IF(AND($M$3-tblInvoices[[#This Row],[Due Date]]&gt;=1,$M$3-tblInvoices[[#This Row],[Due Date]]&lt;=30),tblInvoices[[#This Row],[Invoice Amount]],0)</f>
        <v>0</v>
      </c>
      <c r="H43" s="108">
        <f>IF(AND($M$3-tblInvoices[[#This Row],[Due Date]]&gt;=31,$M$3-tblInvoices[[#This Row],[Due Date]]&lt;=60),tblInvoices[[#This Row],[Invoice Amount]],0)</f>
        <v>0</v>
      </c>
      <c r="I43" s="123">
        <f>IF(AND($M$3-tblInvoices[[#This Row],[Due Date]]&gt;=61,$M$3-tblInvoices[[#This Row],[Due Date]]&lt;=90),tblInvoices[[#This Row],[Invoice Amount]],0)</f>
        <v>785</v>
      </c>
      <c r="J43" s="108">
        <f>IF($M$3-tblInvoices[[#This Row],[Due Date]]&gt;=91,tblInvoices[[#This Row],[Invoice Amount]],0)</f>
        <v>0</v>
      </c>
    </row>
    <row r="44" ht="14.25" customHeight="1">
      <c r="A44" s="113" t="s">
        <v>17</v>
      </c>
      <c r="B44" s="115">
        <v>141</v>
      </c>
      <c r="C44" s="117">
        <v>46147</v>
      </c>
      <c r="D44" s="120">
        <f>tblInvoices[[#This Row],[Invoice Date]]+30</f>
        <v>46177</v>
      </c>
      <c r="E44" s="123">
        <v>542</v>
      </c>
      <c r="F44" s="108">
        <f>IF($M$3&gt;tblInvoices[[#This Row],[Due Date]],tblInvoices[[#This Row],[Invoice Amount]],0)</f>
        <v>542</v>
      </c>
      <c r="G44" s="123">
        <f>IF(AND($M$3-tblInvoices[[#This Row],[Due Date]]&gt;=1,$M$3-tblInvoices[[#This Row],[Due Date]]&lt;=30),tblInvoices[[#This Row],[Invoice Amount]],0)</f>
        <v>542</v>
      </c>
      <c r="H44" s="108">
        <f>IF(AND($M$3-tblInvoices[[#This Row],[Due Date]]&gt;=31,$M$3-tblInvoices[[#This Row],[Due Date]]&lt;=60),tblInvoices[[#This Row],[Invoice Amount]],0)</f>
        <v>0</v>
      </c>
      <c r="I44" s="123">
        <f>IF(AND($M$3-tblInvoices[[#This Row],[Due Date]]&gt;=61,$M$3-tblInvoices[[#This Row],[Due Date]]&lt;=90),tblInvoices[[#This Row],[Invoice Amount]],0)</f>
        <v>0</v>
      </c>
      <c r="J44" s="108">
        <f>IF($M$3-tblInvoices[[#This Row],[Due Date]]&gt;=91,tblInvoices[[#This Row],[Invoice Amount]],0)</f>
        <v>0</v>
      </c>
    </row>
    <row r="45" ht="14.25" customHeight="1">
      <c r="A45" s="113" t="s">
        <v>43</v>
      </c>
      <c r="B45" s="115">
        <v>142</v>
      </c>
      <c r="C45" s="117">
        <v>46188</v>
      </c>
      <c r="D45" s="120">
        <f>tblInvoices[[#This Row],[Invoice Date]]+30</f>
        <v>46218</v>
      </c>
      <c r="E45" s="123">
        <v>700</v>
      </c>
      <c r="F45" s="108">
        <f>IF($M$3&gt;tblInvoices[[#This Row],[Due Date]],tblInvoices[[#This Row],[Invoice Amount]],0)</f>
        <v>0</v>
      </c>
      <c r="G45" s="123">
        <f>IF(AND($M$3-tblInvoices[[#This Row],[Due Date]]&gt;=1,$M$3-tblInvoices[[#This Row],[Due Date]]&lt;=30),tblInvoices[[#This Row],[Invoice Amount]],0)</f>
        <v>0</v>
      </c>
      <c r="H45" s="108">
        <f>IF(AND($M$3-tblInvoices[[#This Row],[Due Date]]&gt;=31,$M$3-tblInvoices[[#This Row],[Due Date]]&lt;=60),tblInvoices[[#This Row],[Invoice Amount]],0)</f>
        <v>0</v>
      </c>
      <c r="I45" s="123">
        <f>IF(AND($M$3-tblInvoices[[#This Row],[Due Date]]&gt;=61,$M$3-tblInvoices[[#This Row],[Due Date]]&lt;=90),tblInvoices[[#This Row],[Invoice Amount]],0)</f>
        <v>0</v>
      </c>
      <c r="J45" s="108">
        <f>IF($M$3-tblInvoices[[#This Row],[Due Date]]&gt;=91,tblInvoices[[#This Row],[Invoice Amount]],0)</f>
        <v>0</v>
      </c>
    </row>
    <row r="46" ht="14.25" customHeight="1">
      <c r="A46" s="113" t="s">
        <v>51</v>
      </c>
      <c r="B46" s="115">
        <v>143</v>
      </c>
      <c r="C46" s="117">
        <v>46137</v>
      </c>
      <c r="D46" s="120">
        <f>tblInvoices[[#This Row],[Invoice Date]]+30</f>
        <v>46167</v>
      </c>
      <c r="E46" s="123">
        <v>998</v>
      </c>
      <c r="F46" s="108">
        <f>IF($M$3&gt;tblInvoices[[#This Row],[Due Date]],tblInvoices[[#This Row],[Invoice Amount]],0)</f>
        <v>998</v>
      </c>
      <c r="G46" s="123">
        <f>IF(AND($M$3-tblInvoices[[#This Row],[Due Date]]&gt;=1,$M$3-tblInvoices[[#This Row],[Due Date]]&lt;=30),tblInvoices[[#This Row],[Invoice Amount]],0)</f>
        <v>0</v>
      </c>
      <c r="H46" s="108">
        <f>IF(AND($M$3-tblInvoices[[#This Row],[Due Date]]&gt;=31,$M$3-tblInvoices[[#This Row],[Due Date]]&lt;=60),tblInvoices[[#This Row],[Invoice Amount]],0)</f>
        <v>998</v>
      </c>
      <c r="I46" s="123">
        <f>IF(AND($M$3-tblInvoices[[#This Row],[Due Date]]&gt;=61,$M$3-tblInvoices[[#This Row],[Due Date]]&lt;=90),tblInvoices[[#This Row],[Invoice Amount]],0)</f>
        <v>0</v>
      </c>
      <c r="J46" s="108">
        <f>IF($M$3-tblInvoices[[#This Row],[Due Date]]&gt;=91,tblInvoices[[#This Row],[Invoice Amount]],0)</f>
        <v>0</v>
      </c>
    </row>
    <row r="47" ht="14.25" customHeight="1">
      <c r="A47" s="113" t="s">
        <v>21</v>
      </c>
      <c r="B47" s="115">
        <v>144</v>
      </c>
      <c r="C47" s="117">
        <v>46160</v>
      </c>
      <c r="D47" s="120">
        <f>tblInvoices[[#This Row],[Invoice Date]]+30</f>
        <v>46190</v>
      </c>
      <c r="E47" s="123">
        <v>767</v>
      </c>
      <c r="F47" s="108">
        <f>IF($M$3&gt;tblInvoices[[#This Row],[Due Date]],tblInvoices[[#This Row],[Invoice Amount]],0)</f>
        <v>767</v>
      </c>
      <c r="G47" s="123">
        <f>IF(AND($M$3-tblInvoices[[#This Row],[Due Date]]&gt;=1,$M$3-tblInvoices[[#This Row],[Due Date]]&lt;=30),tblInvoices[[#This Row],[Invoice Amount]],0)</f>
        <v>767</v>
      </c>
      <c r="H47" s="108">
        <f>IF(AND($M$3-tblInvoices[[#This Row],[Due Date]]&gt;=31,$M$3-tblInvoices[[#This Row],[Due Date]]&lt;=60),tblInvoices[[#This Row],[Invoice Amount]],0)</f>
        <v>0</v>
      </c>
      <c r="I47" s="123">
        <f>IF(AND($M$3-tblInvoices[[#This Row],[Due Date]]&gt;=61,$M$3-tblInvoices[[#This Row],[Due Date]]&lt;=90),tblInvoices[[#This Row],[Invoice Amount]],0)</f>
        <v>0</v>
      </c>
      <c r="J47" s="108">
        <f>IF($M$3-tblInvoices[[#This Row],[Due Date]]&gt;=91,tblInvoices[[#This Row],[Invoice Amount]],0)</f>
        <v>0</v>
      </c>
    </row>
    <row r="48" ht="14.25" customHeight="1">
      <c r="A48" s="113" t="s">
        <v>51</v>
      </c>
      <c r="B48" s="115">
        <v>145</v>
      </c>
      <c r="C48" s="117">
        <v>46196</v>
      </c>
      <c r="D48" s="120">
        <f>tblInvoices[[#This Row],[Invoice Date]]+30</f>
        <v>46226</v>
      </c>
      <c r="E48" s="123">
        <v>870</v>
      </c>
      <c r="F48" s="108">
        <f>IF($M$3&gt;tblInvoices[[#This Row],[Due Date]],tblInvoices[[#This Row],[Invoice Amount]],0)</f>
        <v>0</v>
      </c>
      <c r="G48" s="123">
        <f>IF(AND($M$3-tblInvoices[[#This Row],[Due Date]]&gt;=1,$M$3-tblInvoices[[#This Row],[Due Date]]&lt;=30),tblInvoices[[#This Row],[Invoice Amount]],0)</f>
        <v>0</v>
      </c>
      <c r="H48" s="108">
        <f>IF(AND($M$3-tblInvoices[[#This Row],[Due Date]]&gt;=31,$M$3-tblInvoices[[#This Row],[Due Date]]&lt;=60),tblInvoices[[#This Row],[Invoice Amount]],0)</f>
        <v>0</v>
      </c>
      <c r="I48" s="123">
        <f>IF(AND($M$3-tblInvoices[[#This Row],[Due Date]]&gt;=61,$M$3-tblInvoices[[#This Row],[Due Date]]&lt;=90),tblInvoices[[#This Row],[Invoice Amount]],0)</f>
        <v>0</v>
      </c>
      <c r="J48" s="108">
        <f>IF($M$3-tblInvoices[[#This Row],[Due Date]]&gt;=91,tblInvoices[[#This Row],[Invoice Amount]],0)</f>
        <v>0</v>
      </c>
    </row>
    <row r="49" ht="14.25" customHeight="1">
      <c r="A49" s="113" t="s">
        <v>62</v>
      </c>
      <c r="B49" s="115">
        <v>146</v>
      </c>
      <c r="C49" s="117">
        <v>46175</v>
      </c>
      <c r="D49" s="120">
        <f>tblInvoices[[#This Row],[Invoice Date]]+30</f>
        <v>46205</v>
      </c>
      <c r="E49" s="123">
        <v>901</v>
      </c>
      <c r="F49" s="108">
        <f>IF($M$3&gt;tblInvoices[[#This Row],[Due Date]],tblInvoices[[#This Row],[Invoice Amount]],0)</f>
        <v>0</v>
      </c>
      <c r="G49" s="123">
        <f>IF(AND($M$3-tblInvoices[[#This Row],[Due Date]]&gt;=1,$M$3-tblInvoices[[#This Row],[Due Date]]&lt;=30),tblInvoices[[#This Row],[Invoice Amount]],0)</f>
        <v>0</v>
      </c>
      <c r="H49" s="108">
        <f>IF(AND($M$3-tblInvoices[[#This Row],[Due Date]]&gt;=31,$M$3-tblInvoices[[#This Row],[Due Date]]&lt;=60),tblInvoices[[#This Row],[Invoice Amount]],0)</f>
        <v>0</v>
      </c>
      <c r="I49" s="123">
        <f>IF(AND($M$3-tblInvoices[[#This Row],[Due Date]]&gt;=61,$M$3-tblInvoices[[#This Row],[Due Date]]&lt;=90),tblInvoices[[#This Row],[Invoice Amount]],0)</f>
        <v>0</v>
      </c>
      <c r="J49" s="108">
        <f>IF($M$3-tblInvoices[[#This Row],[Due Date]]&gt;=91,tblInvoices[[#This Row],[Invoice Amount]],0)</f>
        <v>0</v>
      </c>
    </row>
    <row r="50" ht="14.25" customHeight="1">
      <c r="A50" s="113" t="s">
        <v>24</v>
      </c>
      <c r="B50" s="115">
        <v>147</v>
      </c>
      <c r="C50" s="117">
        <v>46165</v>
      </c>
      <c r="D50" s="120">
        <f>tblInvoices[[#This Row],[Invoice Date]]+30</f>
        <v>46195</v>
      </c>
      <c r="E50" s="123">
        <v>754</v>
      </c>
      <c r="F50" s="108">
        <f>IF($M$3&gt;tblInvoices[[#This Row],[Due Date]],tblInvoices[[#This Row],[Invoice Amount]],0)</f>
        <v>754</v>
      </c>
      <c r="G50" s="123">
        <f>IF(AND($M$3-tblInvoices[[#This Row],[Due Date]]&gt;=1,$M$3-tblInvoices[[#This Row],[Due Date]]&lt;=30),tblInvoices[[#This Row],[Invoice Amount]],0)</f>
        <v>754</v>
      </c>
      <c r="H50" s="108">
        <f>IF(AND($M$3-tblInvoices[[#This Row],[Due Date]]&gt;=31,$M$3-tblInvoices[[#This Row],[Due Date]]&lt;=60),tblInvoices[[#This Row],[Invoice Amount]],0)</f>
        <v>0</v>
      </c>
      <c r="I50" s="123">
        <f>IF(AND($M$3-tblInvoices[[#This Row],[Due Date]]&gt;=61,$M$3-tblInvoices[[#This Row],[Due Date]]&lt;=90),tblInvoices[[#This Row],[Invoice Amount]],0)</f>
        <v>0</v>
      </c>
      <c r="J50" s="108">
        <f>IF($M$3-tblInvoices[[#This Row],[Due Date]]&gt;=91,tblInvoices[[#This Row],[Invoice Amount]],0)</f>
        <v>0</v>
      </c>
    </row>
    <row r="51" ht="14.25" customHeight="1">
      <c r="A51" s="113" t="s">
        <v>34</v>
      </c>
      <c r="B51" s="115">
        <v>148</v>
      </c>
      <c r="C51" s="117">
        <v>46128</v>
      </c>
      <c r="D51" s="120">
        <f>tblInvoices[[#This Row],[Invoice Date]]+30</f>
        <v>46158</v>
      </c>
      <c r="E51" s="123">
        <v>778</v>
      </c>
      <c r="F51" s="108">
        <f>IF($M$3&gt;tblInvoices[[#This Row],[Due Date]],tblInvoices[[#This Row],[Invoice Amount]],0)</f>
        <v>778</v>
      </c>
      <c r="G51" s="123">
        <f>IF(AND($M$3-tblInvoices[[#This Row],[Due Date]]&gt;=1,$M$3-tblInvoices[[#This Row],[Due Date]]&lt;=30),tblInvoices[[#This Row],[Invoice Amount]],0)</f>
        <v>0</v>
      </c>
      <c r="H51" s="108">
        <f>IF(AND($M$3-tblInvoices[[#This Row],[Due Date]]&gt;=31,$M$3-tblInvoices[[#This Row],[Due Date]]&lt;=60),tblInvoices[[#This Row],[Invoice Amount]],0)</f>
        <v>778</v>
      </c>
      <c r="I51" s="123">
        <f>IF(AND($M$3-tblInvoices[[#This Row],[Due Date]]&gt;=61,$M$3-tblInvoices[[#This Row],[Due Date]]&lt;=90),tblInvoices[[#This Row],[Invoice Amount]],0)</f>
        <v>0</v>
      </c>
      <c r="J51" s="108">
        <f>IF($M$3-tblInvoices[[#This Row],[Due Date]]&gt;=91,tblInvoices[[#This Row],[Invoice Amount]],0)</f>
        <v>0</v>
      </c>
    </row>
    <row r="52" ht="14.25" customHeight="1">
      <c r="A52" s="113" t="s">
        <v>23</v>
      </c>
      <c r="B52" s="115">
        <v>149</v>
      </c>
      <c r="C52" s="117">
        <v>46179</v>
      </c>
      <c r="D52" s="120">
        <f>tblInvoices[[#This Row],[Invoice Date]]+30</f>
        <v>46209</v>
      </c>
      <c r="E52" s="123">
        <v>989</v>
      </c>
      <c r="F52" s="108">
        <f>IF($M$3&gt;tblInvoices[[#This Row],[Due Date]],tblInvoices[[#This Row],[Invoice Amount]],0)</f>
        <v>0</v>
      </c>
      <c r="G52" s="123">
        <f>IF(AND($M$3-tblInvoices[[#This Row],[Due Date]]&gt;=1,$M$3-tblInvoices[[#This Row],[Due Date]]&lt;=30),tblInvoices[[#This Row],[Invoice Amount]],0)</f>
        <v>0</v>
      </c>
      <c r="H52" s="108">
        <f>IF(AND($M$3-tblInvoices[[#This Row],[Due Date]]&gt;=31,$M$3-tblInvoices[[#This Row],[Due Date]]&lt;=60),tblInvoices[[#This Row],[Invoice Amount]],0)</f>
        <v>0</v>
      </c>
      <c r="I52" s="123">
        <f>IF(AND($M$3-tblInvoices[[#This Row],[Due Date]]&gt;=61,$M$3-tblInvoices[[#This Row],[Due Date]]&lt;=90),tblInvoices[[#This Row],[Invoice Amount]],0)</f>
        <v>0</v>
      </c>
      <c r="J52" s="108">
        <f>IF($M$3-tblInvoices[[#This Row],[Due Date]]&gt;=91,tblInvoices[[#This Row],[Invoice Amount]],0)</f>
        <v>0</v>
      </c>
    </row>
    <row r="53" ht="14.25" customHeight="1">
      <c r="A53" s="113" t="s">
        <v>39</v>
      </c>
      <c r="B53" s="115">
        <v>150</v>
      </c>
      <c r="C53" s="117">
        <v>46129</v>
      </c>
      <c r="D53" s="120">
        <f>tblInvoices[[#This Row],[Invoice Date]]+30</f>
        <v>46159</v>
      </c>
      <c r="E53" s="123">
        <v>829</v>
      </c>
      <c r="F53" s="108">
        <f>IF($M$3&gt;tblInvoices[[#This Row],[Due Date]],tblInvoices[[#This Row],[Invoice Amount]],0)</f>
        <v>829</v>
      </c>
      <c r="G53" s="123">
        <f>IF(AND($M$3-tblInvoices[[#This Row],[Due Date]]&gt;=1,$M$3-tblInvoices[[#This Row],[Due Date]]&lt;=30),tblInvoices[[#This Row],[Invoice Amount]],0)</f>
        <v>0</v>
      </c>
      <c r="H53" s="108">
        <f>IF(AND($M$3-tblInvoices[[#This Row],[Due Date]]&gt;=31,$M$3-tblInvoices[[#This Row],[Due Date]]&lt;=60),tblInvoices[[#This Row],[Invoice Amount]],0)</f>
        <v>829</v>
      </c>
      <c r="I53" s="123">
        <f>IF(AND($M$3-tblInvoices[[#This Row],[Due Date]]&gt;=61,$M$3-tblInvoices[[#This Row],[Due Date]]&lt;=90),tblInvoices[[#This Row],[Invoice Amount]],0)</f>
        <v>0</v>
      </c>
      <c r="J53" s="108">
        <f>IF($M$3-tblInvoices[[#This Row],[Due Date]]&gt;=91,tblInvoices[[#This Row],[Invoice Amount]],0)</f>
        <v>0</v>
      </c>
    </row>
    <row r="54" ht="14.25" customHeight="1">
      <c r="A54" s="113" t="s">
        <v>19</v>
      </c>
      <c r="B54" s="115">
        <v>151</v>
      </c>
      <c r="C54" s="117">
        <v>46152</v>
      </c>
      <c r="D54" s="120">
        <f>tblInvoices[[#This Row],[Invoice Date]]+30</f>
        <v>46182</v>
      </c>
      <c r="E54" s="123">
        <v>928</v>
      </c>
      <c r="F54" s="108">
        <f>IF($M$3&gt;tblInvoices[[#This Row],[Due Date]],tblInvoices[[#This Row],[Invoice Amount]],0)</f>
        <v>928</v>
      </c>
      <c r="G54" s="123">
        <f>IF(AND($M$3-tblInvoices[[#This Row],[Due Date]]&gt;=1,$M$3-tblInvoices[[#This Row],[Due Date]]&lt;=30),tblInvoices[[#This Row],[Invoice Amount]],0)</f>
        <v>928</v>
      </c>
      <c r="H54" s="108">
        <f>IF(AND($M$3-tblInvoices[[#This Row],[Due Date]]&gt;=31,$M$3-tblInvoices[[#This Row],[Due Date]]&lt;=60),tblInvoices[[#This Row],[Invoice Amount]],0)</f>
        <v>0</v>
      </c>
      <c r="I54" s="123">
        <f>IF(AND($M$3-tblInvoices[[#This Row],[Due Date]]&gt;=61,$M$3-tblInvoices[[#This Row],[Due Date]]&lt;=90),tblInvoices[[#This Row],[Invoice Amount]],0)</f>
        <v>0</v>
      </c>
      <c r="J54" s="108">
        <f>IF($M$3-tblInvoices[[#This Row],[Due Date]]&gt;=91,tblInvoices[[#This Row],[Invoice Amount]],0)</f>
        <v>0</v>
      </c>
    </row>
    <row r="55" ht="14.25" customHeight="1">
      <c r="A55" s="113" t="s">
        <v>30</v>
      </c>
      <c r="B55" s="115">
        <v>152</v>
      </c>
      <c r="C55" s="117">
        <v>46164</v>
      </c>
      <c r="D55" s="120">
        <f>tblInvoices[[#This Row],[Invoice Date]]+30</f>
        <v>46194</v>
      </c>
      <c r="E55" s="123">
        <v>920</v>
      </c>
      <c r="F55" s="108">
        <f>IF($M$3&gt;tblInvoices[[#This Row],[Due Date]],tblInvoices[[#This Row],[Invoice Amount]],0)</f>
        <v>920</v>
      </c>
      <c r="G55" s="123">
        <f>IF(AND($M$3-tblInvoices[[#This Row],[Due Date]]&gt;=1,$M$3-tblInvoices[[#This Row],[Due Date]]&lt;=30),tblInvoices[[#This Row],[Invoice Amount]],0)</f>
        <v>920</v>
      </c>
      <c r="H55" s="108">
        <f>IF(AND($M$3-tblInvoices[[#This Row],[Due Date]]&gt;=31,$M$3-tblInvoices[[#This Row],[Due Date]]&lt;=60),tblInvoices[[#This Row],[Invoice Amount]],0)</f>
        <v>0</v>
      </c>
      <c r="I55" s="123">
        <f>IF(AND($M$3-tblInvoices[[#This Row],[Due Date]]&gt;=61,$M$3-tblInvoices[[#This Row],[Due Date]]&lt;=90),tblInvoices[[#This Row],[Invoice Amount]],0)</f>
        <v>0</v>
      </c>
      <c r="J55" s="108">
        <f>IF($M$3-tblInvoices[[#This Row],[Due Date]]&gt;=91,tblInvoices[[#This Row],[Invoice Amount]],0)</f>
        <v>0</v>
      </c>
    </row>
    <row r="56" ht="14.25" customHeight="1">
      <c r="A56" s="113" t="s">
        <v>28</v>
      </c>
      <c r="B56" s="115">
        <v>153</v>
      </c>
      <c r="C56" s="117">
        <v>46169</v>
      </c>
      <c r="D56" s="120">
        <f>tblInvoices[[#This Row],[Invoice Date]]+30</f>
        <v>46199</v>
      </c>
      <c r="E56" s="123">
        <v>867</v>
      </c>
      <c r="F56" s="108">
        <f>IF($M$3&gt;tblInvoices[[#This Row],[Due Date]],tblInvoices[[#This Row],[Invoice Amount]],0)</f>
        <v>867</v>
      </c>
      <c r="G56" s="123">
        <f>IF(AND($M$3-tblInvoices[[#This Row],[Due Date]]&gt;=1,$M$3-tblInvoices[[#This Row],[Due Date]]&lt;=30),tblInvoices[[#This Row],[Invoice Amount]],0)</f>
        <v>867</v>
      </c>
      <c r="H56" s="108">
        <f>IF(AND($M$3-tblInvoices[[#This Row],[Due Date]]&gt;=31,$M$3-tblInvoices[[#This Row],[Due Date]]&lt;=60),tblInvoices[[#This Row],[Invoice Amount]],0)</f>
        <v>0</v>
      </c>
      <c r="I56" s="123">
        <f>IF(AND($M$3-tblInvoices[[#This Row],[Due Date]]&gt;=61,$M$3-tblInvoices[[#This Row],[Due Date]]&lt;=90),tblInvoices[[#This Row],[Invoice Amount]],0)</f>
        <v>0</v>
      </c>
      <c r="J56" s="108">
        <f>IF($M$3-tblInvoices[[#This Row],[Due Date]]&gt;=91,tblInvoices[[#This Row],[Invoice Amount]],0)</f>
        <v>0</v>
      </c>
    </row>
    <row r="57" ht="14.25" customHeight="1">
      <c r="A57" s="113" t="s">
        <v>63</v>
      </c>
      <c r="B57" s="115">
        <v>154</v>
      </c>
      <c r="C57" s="117">
        <v>46180</v>
      </c>
      <c r="D57" s="120">
        <f>tblInvoices[[#This Row],[Invoice Date]]+30</f>
        <v>46210</v>
      </c>
      <c r="E57" s="123">
        <v>843</v>
      </c>
      <c r="F57" s="108">
        <f>IF($M$3&gt;tblInvoices[[#This Row],[Due Date]],tblInvoices[[#This Row],[Invoice Amount]],0)</f>
        <v>0</v>
      </c>
      <c r="G57" s="123">
        <f>IF(AND($M$3-tblInvoices[[#This Row],[Due Date]]&gt;=1,$M$3-tblInvoices[[#This Row],[Due Date]]&lt;=30),tblInvoices[[#This Row],[Invoice Amount]],0)</f>
        <v>0</v>
      </c>
      <c r="H57" s="108">
        <f>IF(AND($M$3-tblInvoices[[#This Row],[Due Date]]&gt;=31,$M$3-tblInvoices[[#This Row],[Due Date]]&lt;=60),tblInvoices[[#This Row],[Invoice Amount]],0)</f>
        <v>0</v>
      </c>
      <c r="I57" s="123">
        <f>IF(AND($M$3-tblInvoices[[#This Row],[Due Date]]&gt;=61,$M$3-tblInvoices[[#This Row],[Due Date]]&lt;=90),tblInvoices[[#This Row],[Invoice Amount]],0)</f>
        <v>0</v>
      </c>
      <c r="J57" s="108">
        <f>IF($M$3-tblInvoices[[#This Row],[Due Date]]&gt;=91,tblInvoices[[#This Row],[Invoice Amount]],0)</f>
        <v>0</v>
      </c>
    </row>
    <row r="58" ht="14.25" customHeight="1">
      <c r="A58" s="113" t="s">
        <v>45</v>
      </c>
      <c r="B58" s="115">
        <v>155</v>
      </c>
      <c r="C58" s="117">
        <v>46128</v>
      </c>
      <c r="D58" s="120">
        <f>tblInvoices[[#This Row],[Invoice Date]]+30</f>
        <v>46158</v>
      </c>
      <c r="E58" s="123">
        <v>486</v>
      </c>
      <c r="F58" s="108">
        <f>IF($M$3&gt;tblInvoices[[#This Row],[Due Date]],tblInvoices[[#This Row],[Invoice Amount]],0)</f>
        <v>486</v>
      </c>
      <c r="G58" s="123">
        <f>IF(AND($M$3-tblInvoices[[#This Row],[Due Date]]&gt;=1,$M$3-tblInvoices[[#This Row],[Due Date]]&lt;=30),tblInvoices[[#This Row],[Invoice Amount]],0)</f>
        <v>0</v>
      </c>
      <c r="H58" s="108">
        <f>IF(AND($M$3-tblInvoices[[#This Row],[Due Date]]&gt;=31,$M$3-tblInvoices[[#This Row],[Due Date]]&lt;=60),tblInvoices[[#This Row],[Invoice Amount]],0)</f>
        <v>486</v>
      </c>
      <c r="I58" s="123">
        <f>IF(AND($M$3-tblInvoices[[#This Row],[Due Date]]&gt;=61,$M$3-tblInvoices[[#This Row],[Due Date]]&lt;=90),tblInvoices[[#This Row],[Invoice Amount]],0)</f>
        <v>0</v>
      </c>
      <c r="J58" s="108">
        <f>IF($M$3-tblInvoices[[#This Row],[Due Date]]&gt;=91,tblInvoices[[#This Row],[Invoice Amount]],0)</f>
        <v>0</v>
      </c>
    </row>
    <row r="59" ht="14.25" customHeight="1">
      <c r="A59" s="113" t="s">
        <v>30</v>
      </c>
      <c r="B59" s="115">
        <v>156</v>
      </c>
      <c r="C59" s="117">
        <v>46181</v>
      </c>
      <c r="D59" s="120">
        <f>tblInvoices[[#This Row],[Invoice Date]]+30</f>
        <v>46211</v>
      </c>
      <c r="E59" s="123">
        <v>912</v>
      </c>
      <c r="F59" s="108">
        <f>IF($M$3&gt;tblInvoices[[#This Row],[Due Date]],tblInvoices[[#This Row],[Invoice Amount]],0)</f>
        <v>0</v>
      </c>
      <c r="G59" s="123">
        <f>IF(AND($M$3-tblInvoices[[#This Row],[Due Date]]&gt;=1,$M$3-tblInvoices[[#This Row],[Due Date]]&lt;=30),tblInvoices[[#This Row],[Invoice Amount]],0)</f>
        <v>0</v>
      </c>
      <c r="H59" s="108">
        <f>IF(AND($M$3-tblInvoices[[#This Row],[Due Date]]&gt;=31,$M$3-tblInvoices[[#This Row],[Due Date]]&lt;=60),tblInvoices[[#This Row],[Invoice Amount]],0)</f>
        <v>0</v>
      </c>
      <c r="I59" s="123">
        <f>IF(AND($M$3-tblInvoices[[#This Row],[Due Date]]&gt;=61,$M$3-tblInvoices[[#This Row],[Due Date]]&lt;=90),tblInvoices[[#This Row],[Invoice Amount]],0)</f>
        <v>0</v>
      </c>
      <c r="J59" s="108">
        <f>IF($M$3-tblInvoices[[#This Row],[Due Date]]&gt;=91,tblInvoices[[#This Row],[Invoice Amount]],0)</f>
        <v>0</v>
      </c>
    </row>
    <row r="60" ht="14.25" customHeight="1">
      <c r="A60" s="113" t="s">
        <v>25</v>
      </c>
      <c r="B60" s="115">
        <v>157</v>
      </c>
      <c r="C60" s="117">
        <v>46141</v>
      </c>
      <c r="D60" s="120">
        <f>tblInvoices[[#This Row],[Invoice Date]]+30</f>
        <v>46171</v>
      </c>
      <c r="E60" s="123">
        <v>390</v>
      </c>
      <c r="F60" s="108">
        <f>IF($M$3&gt;tblInvoices[[#This Row],[Due Date]],tblInvoices[[#This Row],[Invoice Amount]],0)</f>
        <v>390</v>
      </c>
      <c r="G60" s="123">
        <f>IF(AND($M$3-tblInvoices[[#This Row],[Due Date]]&gt;=1,$M$3-tblInvoices[[#This Row],[Due Date]]&lt;=30),tblInvoices[[#This Row],[Invoice Amount]],0)</f>
        <v>0</v>
      </c>
      <c r="H60" s="108">
        <f>IF(AND($M$3-tblInvoices[[#This Row],[Due Date]]&gt;=31,$M$3-tblInvoices[[#This Row],[Due Date]]&lt;=60),tblInvoices[[#This Row],[Invoice Amount]],0)</f>
        <v>390</v>
      </c>
      <c r="I60" s="123">
        <f>IF(AND($M$3-tblInvoices[[#This Row],[Due Date]]&gt;=61,$M$3-tblInvoices[[#This Row],[Due Date]]&lt;=90),tblInvoices[[#This Row],[Invoice Amount]],0)</f>
        <v>0</v>
      </c>
      <c r="J60" s="108">
        <f>IF($M$3-tblInvoices[[#This Row],[Due Date]]&gt;=91,tblInvoices[[#This Row],[Invoice Amount]],0)</f>
        <v>0</v>
      </c>
    </row>
    <row r="61" ht="14.25" customHeight="1">
      <c r="A61" s="113" t="s">
        <v>26</v>
      </c>
      <c r="B61" s="115">
        <v>158</v>
      </c>
      <c r="C61" s="117">
        <v>46125</v>
      </c>
      <c r="D61" s="120">
        <f>tblInvoices[[#This Row],[Invoice Date]]+30</f>
        <v>46155</v>
      </c>
      <c r="E61" s="123">
        <v>950</v>
      </c>
      <c r="F61" s="108">
        <f>IF($M$3&gt;tblInvoices[[#This Row],[Due Date]],tblInvoices[[#This Row],[Invoice Amount]],0)</f>
        <v>950</v>
      </c>
      <c r="G61" s="123">
        <f>IF(AND($M$3-tblInvoices[[#This Row],[Due Date]]&gt;=1,$M$3-tblInvoices[[#This Row],[Due Date]]&lt;=30),tblInvoices[[#This Row],[Invoice Amount]],0)</f>
        <v>0</v>
      </c>
      <c r="H61" s="108">
        <f>IF(AND($M$3-tblInvoices[[#This Row],[Due Date]]&gt;=31,$M$3-tblInvoices[[#This Row],[Due Date]]&lt;=60),tblInvoices[[#This Row],[Invoice Amount]],0)</f>
        <v>950</v>
      </c>
      <c r="I61" s="123">
        <f>IF(AND($M$3-tblInvoices[[#This Row],[Due Date]]&gt;=61,$M$3-tblInvoices[[#This Row],[Due Date]]&lt;=90),tblInvoices[[#This Row],[Invoice Amount]],0)</f>
        <v>0</v>
      </c>
      <c r="J61" s="108">
        <f>IF($M$3-tblInvoices[[#This Row],[Due Date]]&gt;=91,tblInvoices[[#This Row],[Invoice Amount]],0)</f>
        <v>0</v>
      </c>
    </row>
    <row r="62" ht="14.25" customHeight="1">
      <c r="A62" s="113" t="s">
        <v>19</v>
      </c>
      <c r="B62" s="115">
        <v>159</v>
      </c>
      <c r="C62" s="117">
        <v>46167</v>
      </c>
      <c r="D62" s="120">
        <f>tblInvoices[[#This Row],[Invoice Date]]+30</f>
        <v>46197</v>
      </c>
      <c r="E62" s="123">
        <v>895</v>
      </c>
      <c r="F62" s="108">
        <f>IF($M$3&gt;tblInvoices[[#This Row],[Due Date]],tblInvoices[[#This Row],[Invoice Amount]],0)</f>
        <v>895</v>
      </c>
      <c r="G62" s="123">
        <f>IF(AND($M$3-tblInvoices[[#This Row],[Due Date]]&gt;=1,$M$3-tblInvoices[[#This Row],[Due Date]]&lt;=30),tblInvoices[[#This Row],[Invoice Amount]],0)</f>
        <v>895</v>
      </c>
      <c r="H62" s="108">
        <f>IF(AND($M$3-tblInvoices[[#This Row],[Due Date]]&gt;=31,$M$3-tblInvoices[[#This Row],[Due Date]]&lt;=60),tblInvoices[[#This Row],[Invoice Amount]],0)</f>
        <v>0</v>
      </c>
      <c r="I62" s="123">
        <f>IF(AND($M$3-tblInvoices[[#This Row],[Due Date]]&gt;=61,$M$3-tblInvoices[[#This Row],[Due Date]]&lt;=90),tblInvoices[[#This Row],[Invoice Amount]],0)</f>
        <v>0</v>
      </c>
      <c r="J62" s="108">
        <f>IF($M$3-tblInvoices[[#This Row],[Due Date]]&gt;=91,tblInvoices[[#This Row],[Invoice Amount]],0)</f>
        <v>0</v>
      </c>
    </row>
    <row r="63" ht="14.25" customHeight="1">
      <c r="A63" s="113" t="s">
        <v>31</v>
      </c>
      <c r="B63" s="115">
        <v>160</v>
      </c>
      <c r="C63" s="117">
        <v>46155</v>
      </c>
      <c r="D63" s="120">
        <f>tblInvoices[[#This Row],[Invoice Date]]+30</f>
        <v>46185</v>
      </c>
      <c r="E63" s="123">
        <v>842</v>
      </c>
      <c r="F63" s="108">
        <f>IF($M$3&gt;tblInvoices[[#This Row],[Due Date]],tblInvoices[[#This Row],[Invoice Amount]],0)</f>
        <v>842</v>
      </c>
      <c r="G63" s="123">
        <f>IF(AND($M$3-tblInvoices[[#This Row],[Due Date]]&gt;=1,$M$3-tblInvoices[[#This Row],[Due Date]]&lt;=30),tblInvoices[[#This Row],[Invoice Amount]],0)</f>
        <v>842</v>
      </c>
      <c r="H63" s="108">
        <f>IF(AND($M$3-tblInvoices[[#This Row],[Due Date]]&gt;=31,$M$3-tblInvoices[[#This Row],[Due Date]]&lt;=60),tblInvoices[[#This Row],[Invoice Amount]],0)</f>
        <v>0</v>
      </c>
      <c r="I63" s="123">
        <f>IF(AND($M$3-tblInvoices[[#This Row],[Due Date]]&gt;=61,$M$3-tblInvoices[[#This Row],[Due Date]]&lt;=90),tblInvoices[[#This Row],[Invoice Amount]],0)</f>
        <v>0</v>
      </c>
      <c r="J63" s="108">
        <f>IF($M$3-tblInvoices[[#This Row],[Due Date]]&gt;=91,tblInvoices[[#This Row],[Invoice Amount]],0)</f>
        <v>0</v>
      </c>
    </row>
    <row r="64" ht="14.25" customHeight="1">
      <c r="A64" s="113" t="s">
        <v>42</v>
      </c>
      <c r="B64" s="115">
        <v>161</v>
      </c>
      <c r="C64" s="117">
        <v>46126</v>
      </c>
      <c r="D64" s="120">
        <f>tblInvoices[[#This Row],[Invoice Date]]+30</f>
        <v>46156</v>
      </c>
      <c r="E64" s="123">
        <v>603</v>
      </c>
      <c r="F64" s="108">
        <f>IF($M$3&gt;tblInvoices[[#This Row],[Due Date]],tblInvoices[[#This Row],[Invoice Amount]],0)</f>
        <v>603</v>
      </c>
      <c r="G64" s="123">
        <f>IF(AND($M$3-tblInvoices[[#This Row],[Due Date]]&gt;=1,$M$3-tblInvoices[[#This Row],[Due Date]]&lt;=30),tblInvoices[[#This Row],[Invoice Amount]],0)</f>
        <v>0</v>
      </c>
      <c r="H64" s="108">
        <f>IF(AND($M$3-tblInvoices[[#This Row],[Due Date]]&gt;=31,$M$3-tblInvoices[[#This Row],[Due Date]]&lt;=60),tblInvoices[[#This Row],[Invoice Amount]],0)</f>
        <v>603</v>
      </c>
      <c r="I64" s="123">
        <f>IF(AND($M$3-tblInvoices[[#This Row],[Due Date]]&gt;=61,$M$3-tblInvoices[[#This Row],[Due Date]]&lt;=90),tblInvoices[[#This Row],[Invoice Amount]],0)</f>
        <v>0</v>
      </c>
      <c r="J64" s="108">
        <f>IF($M$3-tblInvoices[[#This Row],[Due Date]]&gt;=91,tblInvoices[[#This Row],[Invoice Amount]],0)</f>
        <v>0</v>
      </c>
    </row>
    <row r="65" ht="14.25" customHeight="1">
      <c r="A65" s="113" t="s">
        <v>46</v>
      </c>
      <c r="B65" s="115">
        <v>162</v>
      </c>
      <c r="C65" s="117">
        <v>46156</v>
      </c>
      <c r="D65" s="120">
        <f>tblInvoices[[#This Row],[Invoice Date]]+30</f>
        <v>46186</v>
      </c>
      <c r="E65" s="123">
        <v>917</v>
      </c>
      <c r="F65" s="108">
        <f>IF($M$3&gt;tblInvoices[[#This Row],[Due Date]],tblInvoices[[#This Row],[Invoice Amount]],0)</f>
        <v>917</v>
      </c>
      <c r="G65" s="123">
        <f>IF(AND($M$3-tblInvoices[[#This Row],[Due Date]]&gt;=1,$M$3-tblInvoices[[#This Row],[Due Date]]&lt;=30),tblInvoices[[#This Row],[Invoice Amount]],0)</f>
        <v>917</v>
      </c>
      <c r="H65" s="108">
        <f>IF(AND($M$3-tblInvoices[[#This Row],[Due Date]]&gt;=31,$M$3-tblInvoices[[#This Row],[Due Date]]&lt;=60),tblInvoices[[#This Row],[Invoice Amount]],0)</f>
        <v>0</v>
      </c>
      <c r="I65" s="123">
        <f>IF(AND($M$3-tblInvoices[[#This Row],[Due Date]]&gt;=61,$M$3-tblInvoices[[#This Row],[Due Date]]&lt;=90),tblInvoices[[#This Row],[Invoice Amount]],0)</f>
        <v>0</v>
      </c>
      <c r="J65" s="108">
        <f>IF($M$3-tblInvoices[[#This Row],[Due Date]]&gt;=91,tblInvoices[[#This Row],[Invoice Amount]],0)</f>
        <v>0</v>
      </c>
    </row>
    <row r="66" ht="14.25" customHeight="1">
      <c r="A66" s="113" t="s">
        <v>34</v>
      </c>
      <c r="B66" s="115">
        <v>163</v>
      </c>
      <c r="C66" s="117">
        <v>46107</v>
      </c>
      <c r="D66" s="120">
        <f>tblInvoices[[#This Row],[Invoice Date]]+30</f>
        <v>46137</v>
      </c>
      <c r="E66" s="123">
        <v>518</v>
      </c>
      <c r="F66" s="108">
        <f>IF($M$3&gt;tblInvoices[[#This Row],[Due Date]],tblInvoices[[#This Row],[Invoice Amount]],0)</f>
        <v>518</v>
      </c>
      <c r="G66" s="123">
        <f>IF(AND($M$3-tblInvoices[[#This Row],[Due Date]]&gt;=1,$M$3-tblInvoices[[#This Row],[Due Date]]&lt;=30),tblInvoices[[#This Row],[Invoice Amount]],0)</f>
        <v>0</v>
      </c>
      <c r="H66" s="108">
        <f>IF(AND($M$3-tblInvoices[[#This Row],[Due Date]]&gt;=31,$M$3-tblInvoices[[#This Row],[Due Date]]&lt;=60),tblInvoices[[#This Row],[Invoice Amount]],0)</f>
        <v>0</v>
      </c>
      <c r="I66" s="123">
        <f>IF(AND($M$3-tblInvoices[[#This Row],[Due Date]]&gt;=61,$M$3-tblInvoices[[#This Row],[Due Date]]&lt;=90),tblInvoices[[#This Row],[Invoice Amount]],0)</f>
        <v>518</v>
      </c>
      <c r="J66" s="108">
        <f>IF($M$3-tblInvoices[[#This Row],[Due Date]]&gt;=91,tblInvoices[[#This Row],[Invoice Amount]],0)</f>
        <v>0</v>
      </c>
    </row>
    <row r="67" ht="14.25" customHeight="1">
      <c r="A67" s="113" t="s">
        <v>26</v>
      </c>
      <c r="B67" s="115">
        <v>164</v>
      </c>
      <c r="C67" s="117">
        <v>46165</v>
      </c>
      <c r="D67" s="120">
        <f>tblInvoices[[#This Row],[Invoice Date]]+30</f>
        <v>46195</v>
      </c>
      <c r="E67" s="123">
        <v>320</v>
      </c>
      <c r="F67" s="108">
        <f>IF($M$3&gt;tblInvoices[[#This Row],[Due Date]],tblInvoices[[#This Row],[Invoice Amount]],0)</f>
        <v>320</v>
      </c>
      <c r="G67" s="123">
        <f>IF(AND($M$3-tblInvoices[[#This Row],[Due Date]]&gt;=1,$M$3-tblInvoices[[#This Row],[Due Date]]&lt;=30),tblInvoices[[#This Row],[Invoice Amount]],0)</f>
        <v>320</v>
      </c>
      <c r="H67" s="108">
        <f>IF(AND($M$3-tblInvoices[[#This Row],[Due Date]]&gt;=31,$M$3-tblInvoices[[#This Row],[Due Date]]&lt;=60),tblInvoices[[#This Row],[Invoice Amount]],0)</f>
        <v>0</v>
      </c>
      <c r="I67" s="123">
        <f>IF(AND($M$3-tblInvoices[[#This Row],[Due Date]]&gt;=61,$M$3-tblInvoices[[#This Row],[Due Date]]&lt;=90),tblInvoices[[#This Row],[Invoice Amount]],0)</f>
        <v>0</v>
      </c>
      <c r="J67" s="108">
        <f>IF($M$3-tblInvoices[[#This Row],[Due Date]]&gt;=91,tblInvoices[[#This Row],[Invoice Amount]],0)</f>
        <v>0</v>
      </c>
    </row>
    <row r="68" ht="14.25" customHeight="1">
      <c r="A68" s="113" t="s">
        <v>39</v>
      </c>
      <c r="B68" s="115">
        <v>165</v>
      </c>
      <c r="C68" s="117">
        <v>46118</v>
      </c>
      <c r="D68" s="120">
        <f>tblInvoices[[#This Row],[Invoice Date]]+30</f>
        <v>46148</v>
      </c>
      <c r="E68" s="123">
        <v>745</v>
      </c>
      <c r="F68" s="108">
        <f>IF($M$3&gt;tblInvoices[[#This Row],[Due Date]],tblInvoices[[#This Row],[Invoice Amount]],0)</f>
        <v>745</v>
      </c>
      <c r="G68" s="123">
        <f>IF(AND($M$3-tblInvoices[[#This Row],[Due Date]]&gt;=1,$M$3-tblInvoices[[#This Row],[Due Date]]&lt;=30),tblInvoices[[#This Row],[Invoice Amount]],0)</f>
        <v>0</v>
      </c>
      <c r="H68" s="108">
        <f>IF(AND($M$3-tblInvoices[[#This Row],[Due Date]]&gt;=31,$M$3-tblInvoices[[#This Row],[Due Date]]&lt;=60),tblInvoices[[#This Row],[Invoice Amount]],0)</f>
        <v>745</v>
      </c>
      <c r="I68" s="123">
        <f>IF(AND($M$3-tblInvoices[[#This Row],[Due Date]]&gt;=61,$M$3-tblInvoices[[#This Row],[Due Date]]&lt;=90),tblInvoices[[#This Row],[Invoice Amount]],0)</f>
        <v>0</v>
      </c>
      <c r="J68" s="108">
        <f>IF($M$3-tblInvoices[[#This Row],[Due Date]]&gt;=91,tblInvoices[[#This Row],[Invoice Amount]],0)</f>
        <v>0</v>
      </c>
    </row>
    <row r="69" ht="14.25" customHeight="1">
      <c r="A69" s="113" t="s">
        <v>48</v>
      </c>
      <c r="B69" s="115">
        <v>166</v>
      </c>
      <c r="C69" s="117">
        <v>46151</v>
      </c>
      <c r="D69" s="120">
        <f>tblInvoices[[#This Row],[Invoice Date]]+30</f>
        <v>46181</v>
      </c>
      <c r="E69" s="123">
        <v>373</v>
      </c>
      <c r="F69" s="108">
        <f>IF($M$3&gt;tblInvoices[[#This Row],[Due Date]],tblInvoices[[#This Row],[Invoice Amount]],0)</f>
        <v>373</v>
      </c>
      <c r="G69" s="123">
        <f>IF(AND($M$3-tblInvoices[[#This Row],[Due Date]]&gt;=1,$M$3-tblInvoices[[#This Row],[Due Date]]&lt;=30),tblInvoices[[#This Row],[Invoice Amount]],0)</f>
        <v>373</v>
      </c>
      <c r="H69" s="108">
        <f>IF(AND($M$3-tblInvoices[[#This Row],[Due Date]]&gt;=31,$M$3-tblInvoices[[#This Row],[Due Date]]&lt;=60),tblInvoices[[#This Row],[Invoice Amount]],0)</f>
        <v>0</v>
      </c>
      <c r="I69" s="123">
        <f>IF(AND($M$3-tblInvoices[[#This Row],[Due Date]]&gt;=61,$M$3-tblInvoices[[#This Row],[Due Date]]&lt;=90),tblInvoices[[#This Row],[Invoice Amount]],0)</f>
        <v>0</v>
      </c>
      <c r="J69" s="108">
        <f>IF($M$3-tblInvoices[[#This Row],[Due Date]]&gt;=91,tblInvoices[[#This Row],[Invoice Amount]],0)</f>
        <v>0</v>
      </c>
    </row>
    <row r="70" ht="14.25" customHeight="1">
      <c r="A70" s="113" t="s">
        <v>31</v>
      </c>
      <c r="B70" s="115">
        <v>167</v>
      </c>
      <c r="C70" s="117">
        <v>46185</v>
      </c>
      <c r="D70" s="120">
        <f>tblInvoices[[#This Row],[Invoice Date]]+30</f>
        <v>46215</v>
      </c>
      <c r="E70" s="123">
        <v>321</v>
      </c>
      <c r="F70" s="108">
        <f>IF($M$3&gt;tblInvoices[[#This Row],[Due Date]],tblInvoices[[#This Row],[Invoice Amount]],0)</f>
        <v>0</v>
      </c>
      <c r="G70" s="123">
        <f>IF(AND($M$3-tblInvoices[[#This Row],[Due Date]]&gt;=1,$M$3-tblInvoices[[#This Row],[Due Date]]&lt;=30),tblInvoices[[#This Row],[Invoice Amount]],0)</f>
        <v>0</v>
      </c>
      <c r="H70" s="108">
        <f>IF(AND($M$3-tblInvoices[[#This Row],[Due Date]]&gt;=31,$M$3-tblInvoices[[#This Row],[Due Date]]&lt;=60),tblInvoices[[#This Row],[Invoice Amount]],0)</f>
        <v>0</v>
      </c>
      <c r="I70" s="123">
        <f>IF(AND($M$3-tblInvoices[[#This Row],[Due Date]]&gt;=61,$M$3-tblInvoices[[#This Row],[Due Date]]&lt;=90),tblInvoices[[#This Row],[Invoice Amount]],0)</f>
        <v>0</v>
      </c>
      <c r="J70" s="108">
        <f>IF($M$3-tblInvoices[[#This Row],[Due Date]]&gt;=91,tblInvoices[[#This Row],[Invoice Amount]],0)</f>
        <v>0</v>
      </c>
    </row>
    <row r="71" ht="14.25" customHeight="1">
      <c r="A71" s="113" t="s">
        <v>31</v>
      </c>
      <c r="B71" s="115">
        <v>168</v>
      </c>
      <c r="C71" s="117">
        <v>46166</v>
      </c>
      <c r="D71" s="120">
        <f>tblInvoices[[#This Row],[Invoice Date]]+30</f>
        <v>46196</v>
      </c>
      <c r="E71" s="123">
        <v>973</v>
      </c>
      <c r="F71" s="108">
        <f>IF($M$3&gt;tblInvoices[[#This Row],[Due Date]],tblInvoices[[#This Row],[Invoice Amount]],0)</f>
        <v>973</v>
      </c>
      <c r="G71" s="123">
        <f>IF(AND($M$3-tblInvoices[[#This Row],[Due Date]]&gt;=1,$M$3-tblInvoices[[#This Row],[Due Date]]&lt;=30),tblInvoices[[#This Row],[Invoice Amount]],0)</f>
        <v>973</v>
      </c>
      <c r="H71" s="108">
        <f>IF(AND($M$3-tblInvoices[[#This Row],[Due Date]]&gt;=31,$M$3-tblInvoices[[#This Row],[Due Date]]&lt;=60),tblInvoices[[#This Row],[Invoice Amount]],0)</f>
        <v>0</v>
      </c>
      <c r="I71" s="123">
        <f>IF(AND($M$3-tblInvoices[[#This Row],[Due Date]]&gt;=61,$M$3-tblInvoices[[#This Row],[Due Date]]&lt;=90),tblInvoices[[#This Row],[Invoice Amount]],0)</f>
        <v>0</v>
      </c>
      <c r="J71" s="108">
        <f>IF($M$3-tblInvoices[[#This Row],[Due Date]]&gt;=91,tblInvoices[[#This Row],[Invoice Amount]],0)</f>
        <v>0</v>
      </c>
    </row>
    <row r="72" ht="14.25" customHeight="1">
      <c r="A72" s="113" t="s">
        <v>27</v>
      </c>
      <c r="B72" s="115">
        <v>169</v>
      </c>
      <c r="C72" s="117">
        <v>46115</v>
      </c>
      <c r="D72" s="120">
        <f>tblInvoices[[#This Row],[Invoice Date]]+30</f>
        <v>46145</v>
      </c>
      <c r="E72" s="123">
        <v>768</v>
      </c>
      <c r="F72" s="108">
        <f>IF($M$3&gt;tblInvoices[[#This Row],[Due Date]],tblInvoices[[#This Row],[Invoice Amount]],0)</f>
        <v>768</v>
      </c>
      <c r="G72" s="123">
        <f>IF(AND($M$3-tblInvoices[[#This Row],[Due Date]]&gt;=1,$M$3-tblInvoices[[#This Row],[Due Date]]&lt;=30),tblInvoices[[#This Row],[Invoice Amount]],0)</f>
        <v>0</v>
      </c>
      <c r="H72" s="108">
        <f>IF(AND($M$3-tblInvoices[[#This Row],[Due Date]]&gt;=31,$M$3-tblInvoices[[#This Row],[Due Date]]&lt;=60),tblInvoices[[#This Row],[Invoice Amount]],0)</f>
        <v>768</v>
      </c>
      <c r="I72" s="123">
        <f>IF(AND($M$3-tblInvoices[[#This Row],[Due Date]]&gt;=61,$M$3-tblInvoices[[#This Row],[Due Date]]&lt;=90),tblInvoices[[#This Row],[Invoice Amount]],0)</f>
        <v>0</v>
      </c>
      <c r="J72" s="108">
        <f>IF($M$3-tblInvoices[[#This Row],[Due Date]]&gt;=91,tblInvoices[[#This Row],[Invoice Amount]],0)</f>
        <v>0</v>
      </c>
    </row>
    <row r="73" ht="14.25" customHeight="1">
      <c r="A73" s="113" t="s">
        <v>23</v>
      </c>
      <c r="B73" s="115">
        <v>170</v>
      </c>
      <c r="C73" s="117">
        <v>46111</v>
      </c>
      <c r="D73" s="120">
        <f>tblInvoices[[#This Row],[Invoice Date]]+30</f>
        <v>46141</v>
      </c>
      <c r="E73" s="123">
        <v>471</v>
      </c>
      <c r="F73" s="108">
        <f>IF($M$3&gt;tblInvoices[[#This Row],[Due Date]],tblInvoices[[#This Row],[Invoice Amount]],0)</f>
        <v>471</v>
      </c>
      <c r="G73" s="123">
        <f>IF(AND($M$3-tblInvoices[[#This Row],[Due Date]]&gt;=1,$M$3-tblInvoices[[#This Row],[Due Date]]&lt;=30),tblInvoices[[#This Row],[Invoice Amount]],0)</f>
        <v>0</v>
      </c>
      <c r="H73" s="108">
        <f>IF(AND($M$3-tblInvoices[[#This Row],[Due Date]]&gt;=31,$M$3-tblInvoices[[#This Row],[Due Date]]&lt;=60),tblInvoices[[#This Row],[Invoice Amount]],0)</f>
        <v>0</v>
      </c>
      <c r="I73" s="123">
        <f>IF(AND($M$3-tblInvoices[[#This Row],[Due Date]]&gt;=61,$M$3-tblInvoices[[#This Row],[Due Date]]&lt;=90),tblInvoices[[#This Row],[Invoice Amount]],0)</f>
        <v>471</v>
      </c>
      <c r="J73" s="108">
        <f>IF($M$3-tblInvoices[[#This Row],[Due Date]]&gt;=91,tblInvoices[[#This Row],[Invoice Amount]],0)</f>
        <v>0</v>
      </c>
    </row>
    <row r="74" ht="14.25" customHeight="1">
      <c r="A74" s="113" t="s">
        <v>50</v>
      </c>
      <c r="B74" s="115">
        <v>171</v>
      </c>
      <c r="C74" s="117">
        <v>46146</v>
      </c>
      <c r="D74" s="120">
        <f>tblInvoices[[#This Row],[Invoice Date]]+30</f>
        <v>46176</v>
      </c>
      <c r="E74" s="123">
        <v>913</v>
      </c>
      <c r="F74" s="108">
        <f>IF($M$3&gt;tblInvoices[[#This Row],[Due Date]],tblInvoices[[#This Row],[Invoice Amount]],0)</f>
        <v>913</v>
      </c>
      <c r="G74" s="123">
        <f>IF(AND($M$3-tblInvoices[[#This Row],[Due Date]]&gt;=1,$M$3-tblInvoices[[#This Row],[Due Date]]&lt;=30),tblInvoices[[#This Row],[Invoice Amount]],0)</f>
        <v>913</v>
      </c>
      <c r="H74" s="108">
        <f>IF(AND($M$3-tblInvoices[[#This Row],[Due Date]]&gt;=31,$M$3-tblInvoices[[#This Row],[Due Date]]&lt;=60),tblInvoices[[#This Row],[Invoice Amount]],0)</f>
        <v>0</v>
      </c>
      <c r="I74" s="123">
        <f>IF(AND($M$3-tblInvoices[[#This Row],[Due Date]]&gt;=61,$M$3-tblInvoices[[#This Row],[Due Date]]&lt;=90),tblInvoices[[#This Row],[Invoice Amount]],0)</f>
        <v>0</v>
      </c>
      <c r="J74" s="108">
        <f>IF($M$3-tblInvoices[[#This Row],[Due Date]]&gt;=91,tblInvoices[[#This Row],[Invoice Amount]],0)</f>
        <v>0</v>
      </c>
    </row>
    <row r="75" ht="14.25" customHeight="1">
      <c r="A75" s="113" t="s">
        <v>29</v>
      </c>
      <c r="B75" s="115">
        <v>172</v>
      </c>
      <c r="C75" s="117">
        <v>46157</v>
      </c>
      <c r="D75" s="120">
        <f>tblInvoices[[#This Row],[Invoice Date]]+30</f>
        <v>46187</v>
      </c>
      <c r="E75" s="123">
        <v>654</v>
      </c>
      <c r="F75" s="108">
        <f>IF($M$3&gt;tblInvoices[[#This Row],[Due Date]],tblInvoices[[#This Row],[Invoice Amount]],0)</f>
        <v>654</v>
      </c>
      <c r="G75" s="123">
        <f>IF(AND($M$3-tblInvoices[[#This Row],[Due Date]]&gt;=1,$M$3-tblInvoices[[#This Row],[Due Date]]&lt;=30),tblInvoices[[#This Row],[Invoice Amount]],0)</f>
        <v>654</v>
      </c>
      <c r="H75" s="108">
        <f>IF(AND($M$3-tblInvoices[[#This Row],[Due Date]]&gt;=31,$M$3-tblInvoices[[#This Row],[Due Date]]&lt;=60),tblInvoices[[#This Row],[Invoice Amount]],0)</f>
        <v>0</v>
      </c>
      <c r="I75" s="123">
        <f>IF(AND($M$3-tblInvoices[[#This Row],[Due Date]]&gt;=61,$M$3-tblInvoices[[#This Row],[Due Date]]&lt;=90),tblInvoices[[#This Row],[Invoice Amount]],0)</f>
        <v>0</v>
      </c>
      <c r="J75" s="108">
        <f>IF($M$3-tblInvoices[[#This Row],[Due Date]]&gt;=91,tblInvoices[[#This Row],[Invoice Amount]],0)</f>
        <v>0</v>
      </c>
    </row>
    <row r="76" ht="14.25" customHeight="1">
      <c r="A76" s="113" t="s">
        <v>44</v>
      </c>
      <c r="B76" s="115">
        <v>173</v>
      </c>
      <c r="C76" s="117">
        <v>46125</v>
      </c>
      <c r="D76" s="120">
        <f>tblInvoices[[#This Row],[Invoice Date]]+30</f>
        <v>46155</v>
      </c>
      <c r="E76" s="123">
        <v>615</v>
      </c>
      <c r="F76" s="108">
        <f>IF($M$3&gt;tblInvoices[[#This Row],[Due Date]],tblInvoices[[#This Row],[Invoice Amount]],0)</f>
        <v>615</v>
      </c>
      <c r="G76" s="123">
        <f>IF(AND($M$3-tblInvoices[[#This Row],[Due Date]]&gt;=1,$M$3-tblInvoices[[#This Row],[Due Date]]&lt;=30),tblInvoices[[#This Row],[Invoice Amount]],0)</f>
        <v>0</v>
      </c>
      <c r="H76" s="108">
        <f>IF(AND($M$3-tblInvoices[[#This Row],[Due Date]]&gt;=31,$M$3-tblInvoices[[#This Row],[Due Date]]&lt;=60),tblInvoices[[#This Row],[Invoice Amount]],0)</f>
        <v>615</v>
      </c>
      <c r="I76" s="123">
        <f>IF(AND($M$3-tblInvoices[[#This Row],[Due Date]]&gt;=61,$M$3-tblInvoices[[#This Row],[Due Date]]&lt;=90),tblInvoices[[#This Row],[Invoice Amount]],0)</f>
        <v>0</v>
      </c>
      <c r="J76" s="108">
        <f>IF($M$3-tblInvoices[[#This Row],[Due Date]]&gt;=91,tblInvoices[[#This Row],[Invoice Amount]],0)</f>
        <v>0</v>
      </c>
    </row>
    <row r="77" ht="14.25" customHeight="1">
      <c r="A77" s="113" t="s">
        <v>46</v>
      </c>
      <c r="B77" s="115">
        <v>174</v>
      </c>
      <c r="C77" s="117">
        <v>46142</v>
      </c>
      <c r="D77" s="120">
        <f>tblInvoices[[#This Row],[Invoice Date]]+30</f>
        <v>46172</v>
      </c>
      <c r="E77" s="123">
        <v>848</v>
      </c>
      <c r="F77" s="108">
        <f>IF($M$3&gt;tblInvoices[[#This Row],[Due Date]],tblInvoices[[#This Row],[Invoice Amount]],0)</f>
        <v>848</v>
      </c>
      <c r="G77" s="123">
        <f>IF(AND($M$3-tblInvoices[[#This Row],[Due Date]]&gt;=1,$M$3-tblInvoices[[#This Row],[Due Date]]&lt;=30),tblInvoices[[#This Row],[Invoice Amount]],0)</f>
        <v>0</v>
      </c>
      <c r="H77" s="108">
        <f>IF(AND($M$3-tblInvoices[[#This Row],[Due Date]]&gt;=31,$M$3-tblInvoices[[#This Row],[Due Date]]&lt;=60),tblInvoices[[#This Row],[Invoice Amount]],0)</f>
        <v>848</v>
      </c>
      <c r="I77" s="123">
        <f>IF(AND($M$3-tblInvoices[[#This Row],[Due Date]]&gt;=61,$M$3-tblInvoices[[#This Row],[Due Date]]&lt;=90),tblInvoices[[#This Row],[Invoice Amount]],0)</f>
        <v>0</v>
      </c>
      <c r="J77" s="108">
        <f>IF($M$3-tblInvoices[[#This Row],[Due Date]]&gt;=91,tblInvoices[[#This Row],[Invoice Amount]],0)</f>
        <v>0</v>
      </c>
    </row>
    <row r="78" ht="14.25" customHeight="1">
      <c r="A78" s="113" t="s">
        <v>30</v>
      </c>
      <c r="B78" s="115">
        <v>175</v>
      </c>
      <c r="C78" s="117">
        <v>46185</v>
      </c>
      <c r="D78" s="120">
        <f>tblInvoices[[#This Row],[Invoice Date]]+30</f>
        <v>46215</v>
      </c>
      <c r="E78" s="123">
        <v>374</v>
      </c>
      <c r="F78" s="108">
        <f>IF($M$3&gt;tblInvoices[[#This Row],[Due Date]],tblInvoices[[#This Row],[Invoice Amount]],0)</f>
        <v>0</v>
      </c>
      <c r="G78" s="123">
        <f>IF(AND($M$3-tblInvoices[[#This Row],[Due Date]]&gt;=1,$M$3-tblInvoices[[#This Row],[Due Date]]&lt;=30),tblInvoices[[#This Row],[Invoice Amount]],0)</f>
        <v>0</v>
      </c>
      <c r="H78" s="108">
        <f>IF(AND($M$3-tblInvoices[[#This Row],[Due Date]]&gt;=31,$M$3-tblInvoices[[#This Row],[Due Date]]&lt;=60),tblInvoices[[#This Row],[Invoice Amount]],0)</f>
        <v>0</v>
      </c>
      <c r="I78" s="123">
        <f>IF(AND($M$3-tblInvoices[[#This Row],[Due Date]]&gt;=61,$M$3-tblInvoices[[#This Row],[Due Date]]&lt;=90),tblInvoices[[#This Row],[Invoice Amount]],0)</f>
        <v>0</v>
      </c>
      <c r="J78" s="108">
        <f>IF($M$3-tblInvoices[[#This Row],[Due Date]]&gt;=91,tblInvoices[[#This Row],[Invoice Amount]],0)</f>
        <v>0</v>
      </c>
    </row>
    <row r="79" ht="14.25" customHeight="1">
      <c r="A79" s="113" t="s">
        <v>51</v>
      </c>
      <c r="B79" s="115">
        <v>176</v>
      </c>
      <c r="C79" s="117">
        <v>46152</v>
      </c>
      <c r="D79" s="120">
        <f>tblInvoices[[#This Row],[Invoice Date]]+30</f>
        <v>46182</v>
      </c>
      <c r="E79" s="123">
        <v>738</v>
      </c>
      <c r="F79" s="108">
        <f>IF($M$3&gt;tblInvoices[[#This Row],[Due Date]],tblInvoices[[#This Row],[Invoice Amount]],0)</f>
        <v>738</v>
      </c>
      <c r="G79" s="123">
        <f>IF(AND($M$3-tblInvoices[[#This Row],[Due Date]]&gt;=1,$M$3-tblInvoices[[#This Row],[Due Date]]&lt;=30),tblInvoices[[#This Row],[Invoice Amount]],0)</f>
        <v>738</v>
      </c>
      <c r="H79" s="108">
        <f>IF(AND($M$3-tblInvoices[[#This Row],[Due Date]]&gt;=31,$M$3-tblInvoices[[#This Row],[Due Date]]&lt;=60),tblInvoices[[#This Row],[Invoice Amount]],0)</f>
        <v>0</v>
      </c>
      <c r="I79" s="123">
        <f>IF(AND($M$3-tblInvoices[[#This Row],[Due Date]]&gt;=61,$M$3-tblInvoices[[#This Row],[Due Date]]&lt;=90),tblInvoices[[#This Row],[Invoice Amount]],0)</f>
        <v>0</v>
      </c>
      <c r="J79" s="108">
        <f>IF($M$3-tblInvoices[[#This Row],[Due Date]]&gt;=91,tblInvoices[[#This Row],[Invoice Amount]],0)</f>
        <v>0</v>
      </c>
    </row>
    <row r="80" ht="14.25" customHeight="1">
      <c r="A80" s="113" t="s">
        <v>29</v>
      </c>
      <c r="B80" s="115">
        <v>177</v>
      </c>
      <c r="C80" s="117">
        <v>46125</v>
      </c>
      <c r="D80" s="120">
        <f>tblInvoices[[#This Row],[Invoice Date]]+30</f>
        <v>46155</v>
      </c>
      <c r="E80" s="123">
        <v>937</v>
      </c>
      <c r="F80" s="108">
        <f>IF($M$3&gt;tblInvoices[[#This Row],[Due Date]],tblInvoices[[#This Row],[Invoice Amount]],0)</f>
        <v>937</v>
      </c>
      <c r="G80" s="123">
        <f>IF(AND($M$3-tblInvoices[[#This Row],[Due Date]]&gt;=1,$M$3-tblInvoices[[#This Row],[Due Date]]&lt;=30),tblInvoices[[#This Row],[Invoice Amount]],0)</f>
        <v>0</v>
      </c>
      <c r="H80" s="108">
        <f>IF(AND($M$3-tblInvoices[[#This Row],[Due Date]]&gt;=31,$M$3-tblInvoices[[#This Row],[Due Date]]&lt;=60),tblInvoices[[#This Row],[Invoice Amount]],0)</f>
        <v>937</v>
      </c>
      <c r="I80" s="123">
        <f>IF(AND($M$3-tblInvoices[[#This Row],[Due Date]]&gt;=61,$M$3-tblInvoices[[#This Row],[Due Date]]&lt;=90),tblInvoices[[#This Row],[Invoice Amount]],0)</f>
        <v>0</v>
      </c>
      <c r="J80" s="108">
        <f>IF($M$3-tblInvoices[[#This Row],[Due Date]]&gt;=91,tblInvoices[[#This Row],[Invoice Amount]],0)</f>
        <v>0</v>
      </c>
    </row>
    <row r="81" ht="14.25" customHeight="1">
      <c r="A81" s="113" t="s">
        <v>27</v>
      </c>
      <c r="B81" s="115">
        <v>178</v>
      </c>
      <c r="C81" s="117">
        <v>46159</v>
      </c>
      <c r="D81" s="120">
        <f>tblInvoices[[#This Row],[Invoice Date]]+30</f>
        <v>46189</v>
      </c>
      <c r="E81" s="123">
        <v>682</v>
      </c>
      <c r="F81" s="108">
        <f>IF($M$3&gt;tblInvoices[[#This Row],[Due Date]],tblInvoices[[#This Row],[Invoice Amount]],0)</f>
        <v>682</v>
      </c>
      <c r="G81" s="123">
        <f>IF(AND($M$3-tblInvoices[[#This Row],[Due Date]]&gt;=1,$M$3-tblInvoices[[#This Row],[Due Date]]&lt;=30),tblInvoices[[#This Row],[Invoice Amount]],0)</f>
        <v>682</v>
      </c>
      <c r="H81" s="108">
        <f>IF(AND($M$3-tblInvoices[[#This Row],[Due Date]]&gt;=31,$M$3-tblInvoices[[#This Row],[Due Date]]&lt;=60),tblInvoices[[#This Row],[Invoice Amount]],0)</f>
        <v>0</v>
      </c>
      <c r="I81" s="123">
        <f>IF(AND($M$3-tblInvoices[[#This Row],[Due Date]]&gt;=61,$M$3-tblInvoices[[#This Row],[Due Date]]&lt;=90),tblInvoices[[#This Row],[Invoice Amount]],0)</f>
        <v>0</v>
      </c>
      <c r="J81" s="108">
        <f>IF($M$3-tblInvoices[[#This Row],[Due Date]]&gt;=91,tblInvoices[[#This Row],[Invoice Amount]],0)</f>
        <v>0</v>
      </c>
    </row>
    <row r="82" ht="14.25" customHeight="1">
      <c r="A82" s="113" t="s">
        <v>64</v>
      </c>
      <c r="B82" s="115">
        <v>179</v>
      </c>
      <c r="C82" s="117">
        <v>46181</v>
      </c>
      <c r="D82" s="120">
        <f>tblInvoices[[#This Row],[Invoice Date]]+30</f>
        <v>46211</v>
      </c>
      <c r="E82" s="123">
        <v>757</v>
      </c>
      <c r="F82" s="108">
        <f>IF($M$3&gt;tblInvoices[[#This Row],[Due Date]],tblInvoices[[#This Row],[Invoice Amount]],0)</f>
        <v>0</v>
      </c>
      <c r="G82" s="123">
        <f>IF(AND($M$3-tblInvoices[[#This Row],[Due Date]]&gt;=1,$M$3-tblInvoices[[#This Row],[Due Date]]&lt;=30),tblInvoices[[#This Row],[Invoice Amount]],0)</f>
        <v>0</v>
      </c>
      <c r="H82" s="108">
        <f>IF(AND($M$3-tblInvoices[[#This Row],[Due Date]]&gt;=31,$M$3-tblInvoices[[#This Row],[Due Date]]&lt;=60),tblInvoices[[#This Row],[Invoice Amount]],0)</f>
        <v>0</v>
      </c>
      <c r="I82" s="123">
        <f>IF(AND($M$3-tblInvoices[[#This Row],[Due Date]]&gt;=61,$M$3-tblInvoices[[#This Row],[Due Date]]&lt;=90),tblInvoices[[#This Row],[Invoice Amount]],0)</f>
        <v>0</v>
      </c>
      <c r="J82" s="108">
        <f>IF($M$3-tblInvoices[[#This Row],[Due Date]]&gt;=91,tblInvoices[[#This Row],[Invoice Amount]],0)</f>
        <v>0</v>
      </c>
    </row>
    <row r="83" ht="14.25" customHeight="1">
      <c r="A83" s="113" t="s">
        <v>48</v>
      </c>
      <c r="B83" s="115">
        <v>180</v>
      </c>
      <c r="C83" s="117">
        <v>46115</v>
      </c>
      <c r="D83" s="120">
        <f>tblInvoices[[#This Row],[Invoice Date]]+30</f>
        <v>46145</v>
      </c>
      <c r="E83" s="123">
        <v>977</v>
      </c>
      <c r="F83" s="108">
        <f>IF($M$3&gt;tblInvoices[[#This Row],[Due Date]],tblInvoices[[#This Row],[Invoice Amount]],0)</f>
        <v>977</v>
      </c>
      <c r="G83" s="123">
        <f>IF(AND($M$3-tblInvoices[[#This Row],[Due Date]]&gt;=1,$M$3-tblInvoices[[#This Row],[Due Date]]&lt;=30),tblInvoices[[#This Row],[Invoice Amount]],0)</f>
        <v>0</v>
      </c>
      <c r="H83" s="108">
        <f>IF(AND($M$3-tblInvoices[[#This Row],[Due Date]]&gt;=31,$M$3-tblInvoices[[#This Row],[Due Date]]&lt;=60),tblInvoices[[#This Row],[Invoice Amount]],0)</f>
        <v>977</v>
      </c>
      <c r="I83" s="123">
        <f>IF(AND($M$3-tblInvoices[[#This Row],[Due Date]]&gt;=61,$M$3-tblInvoices[[#This Row],[Due Date]]&lt;=90),tblInvoices[[#This Row],[Invoice Amount]],0)</f>
        <v>0</v>
      </c>
      <c r="J83" s="108">
        <f>IF($M$3-tblInvoices[[#This Row],[Due Date]]&gt;=91,tblInvoices[[#This Row],[Invoice Amount]],0)</f>
        <v>0</v>
      </c>
    </row>
    <row r="84" ht="14.25" customHeight="1">
      <c r="A84" s="113" t="s">
        <v>20</v>
      </c>
      <c r="B84" s="115">
        <v>181</v>
      </c>
      <c r="C84" s="117">
        <v>46155</v>
      </c>
      <c r="D84" s="120">
        <f>tblInvoices[[#This Row],[Invoice Date]]+30</f>
        <v>46185</v>
      </c>
      <c r="E84" s="123">
        <v>888</v>
      </c>
      <c r="F84" s="108">
        <f>IF($M$3&gt;tblInvoices[[#This Row],[Due Date]],tblInvoices[[#This Row],[Invoice Amount]],0)</f>
        <v>888</v>
      </c>
      <c r="G84" s="123">
        <f>IF(AND($M$3-tblInvoices[[#This Row],[Due Date]]&gt;=1,$M$3-tblInvoices[[#This Row],[Due Date]]&lt;=30),tblInvoices[[#This Row],[Invoice Amount]],0)</f>
        <v>888</v>
      </c>
      <c r="H84" s="108">
        <f>IF(AND($M$3-tblInvoices[[#This Row],[Due Date]]&gt;=31,$M$3-tblInvoices[[#This Row],[Due Date]]&lt;=60),tblInvoices[[#This Row],[Invoice Amount]],0)</f>
        <v>0</v>
      </c>
      <c r="I84" s="123">
        <f>IF(AND($M$3-tblInvoices[[#This Row],[Due Date]]&gt;=61,$M$3-tblInvoices[[#This Row],[Due Date]]&lt;=90),tblInvoices[[#This Row],[Invoice Amount]],0)</f>
        <v>0</v>
      </c>
      <c r="J84" s="108">
        <f>IF($M$3-tblInvoices[[#This Row],[Due Date]]&gt;=91,tblInvoices[[#This Row],[Invoice Amount]],0)</f>
        <v>0</v>
      </c>
    </row>
    <row r="85" ht="14.25" customHeight="1">
      <c r="A85" s="113" t="s">
        <v>24</v>
      </c>
      <c r="B85" s="115">
        <v>182</v>
      </c>
      <c r="C85" s="117">
        <v>46138</v>
      </c>
      <c r="D85" s="120">
        <f>tblInvoices[[#This Row],[Invoice Date]]+30</f>
        <v>46168</v>
      </c>
      <c r="E85" s="123">
        <v>761</v>
      </c>
      <c r="F85" s="108">
        <f>IF($M$3&gt;tblInvoices[[#This Row],[Due Date]],tblInvoices[[#This Row],[Invoice Amount]],0)</f>
        <v>761</v>
      </c>
      <c r="G85" s="123">
        <f>IF(AND($M$3-tblInvoices[[#This Row],[Due Date]]&gt;=1,$M$3-tblInvoices[[#This Row],[Due Date]]&lt;=30),tblInvoices[[#This Row],[Invoice Amount]],0)</f>
        <v>0</v>
      </c>
      <c r="H85" s="108">
        <f>IF(AND($M$3-tblInvoices[[#This Row],[Due Date]]&gt;=31,$M$3-tblInvoices[[#This Row],[Due Date]]&lt;=60),tblInvoices[[#This Row],[Invoice Amount]],0)</f>
        <v>761</v>
      </c>
      <c r="I85" s="123">
        <f>IF(AND($M$3-tblInvoices[[#This Row],[Due Date]]&gt;=61,$M$3-tblInvoices[[#This Row],[Due Date]]&lt;=90),tblInvoices[[#This Row],[Invoice Amount]],0)</f>
        <v>0</v>
      </c>
      <c r="J85" s="108">
        <f>IF($M$3-tblInvoices[[#This Row],[Due Date]]&gt;=91,tblInvoices[[#This Row],[Invoice Amount]],0)</f>
        <v>0</v>
      </c>
    </row>
    <row r="86" ht="14.25" customHeight="1">
      <c r="A86" s="113" t="s">
        <v>46</v>
      </c>
      <c r="B86" s="115">
        <v>183</v>
      </c>
      <c r="C86" s="117">
        <v>46102</v>
      </c>
      <c r="D86" s="120">
        <f>tblInvoices[[#This Row],[Invoice Date]]+30</f>
        <v>46132</v>
      </c>
      <c r="E86" s="123">
        <v>573</v>
      </c>
      <c r="F86" s="108">
        <f>IF($M$3&gt;tblInvoices[[#This Row],[Due Date]],tblInvoices[[#This Row],[Invoice Amount]],0)</f>
        <v>573</v>
      </c>
      <c r="G86" s="123">
        <f>IF(AND($M$3-tblInvoices[[#This Row],[Due Date]]&gt;=1,$M$3-tblInvoices[[#This Row],[Due Date]]&lt;=30),tblInvoices[[#This Row],[Invoice Amount]],0)</f>
        <v>0</v>
      </c>
      <c r="H86" s="108">
        <f>IF(AND($M$3-tblInvoices[[#This Row],[Due Date]]&gt;=31,$M$3-tblInvoices[[#This Row],[Due Date]]&lt;=60),tblInvoices[[#This Row],[Invoice Amount]],0)</f>
        <v>0</v>
      </c>
      <c r="I86" s="123">
        <f>IF(AND($M$3-tblInvoices[[#This Row],[Due Date]]&gt;=61,$M$3-tblInvoices[[#This Row],[Due Date]]&lt;=90),tblInvoices[[#This Row],[Invoice Amount]],0)</f>
        <v>573</v>
      </c>
      <c r="J86" s="108">
        <f>IF($M$3-tblInvoices[[#This Row],[Due Date]]&gt;=91,tblInvoices[[#This Row],[Invoice Amount]],0)</f>
        <v>0</v>
      </c>
    </row>
    <row r="87" ht="14.25" customHeight="1">
      <c r="A87" s="113" t="s">
        <v>30</v>
      </c>
      <c r="B87" s="115">
        <v>184</v>
      </c>
      <c r="C87" s="117">
        <v>46181</v>
      </c>
      <c r="D87" s="120">
        <f>tblInvoices[[#This Row],[Invoice Date]]+30</f>
        <v>46211</v>
      </c>
      <c r="E87" s="123">
        <v>578</v>
      </c>
      <c r="F87" s="108">
        <f>IF($M$3&gt;tblInvoices[[#This Row],[Due Date]],tblInvoices[[#This Row],[Invoice Amount]],0)</f>
        <v>0</v>
      </c>
      <c r="G87" s="123">
        <f>IF(AND($M$3-tblInvoices[[#This Row],[Due Date]]&gt;=1,$M$3-tblInvoices[[#This Row],[Due Date]]&lt;=30),tblInvoices[[#This Row],[Invoice Amount]],0)</f>
        <v>0</v>
      </c>
      <c r="H87" s="108">
        <f>IF(AND($M$3-tblInvoices[[#This Row],[Due Date]]&gt;=31,$M$3-tblInvoices[[#This Row],[Due Date]]&lt;=60),tblInvoices[[#This Row],[Invoice Amount]],0)</f>
        <v>0</v>
      </c>
      <c r="I87" s="123">
        <f>IF(AND($M$3-tblInvoices[[#This Row],[Due Date]]&gt;=61,$M$3-tblInvoices[[#This Row],[Due Date]]&lt;=90),tblInvoices[[#This Row],[Invoice Amount]],0)</f>
        <v>0</v>
      </c>
      <c r="J87" s="108">
        <f>IF($M$3-tblInvoices[[#This Row],[Due Date]]&gt;=91,tblInvoices[[#This Row],[Invoice Amount]],0)</f>
        <v>0</v>
      </c>
    </row>
    <row r="88" ht="14.25" customHeight="1">
      <c r="A88" s="113" t="s">
        <v>61</v>
      </c>
      <c r="B88" s="115">
        <v>185</v>
      </c>
      <c r="C88" s="117">
        <v>46187</v>
      </c>
      <c r="D88" s="120">
        <f>tblInvoices[[#This Row],[Invoice Date]]+30</f>
        <v>46217</v>
      </c>
      <c r="E88" s="123">
        <v>690</v>
      </c>
      <c r="F88" s="108">
        <f>IF($M$3&gt;tblInvoices[[#This Row],[Due Date]],tblInvoices[[#This Row],[Invoice Amount]],0)</f>
        <v>0</v>
      </c>
      <c r="G88" s="123">
        <f>IF(AND($M$3-tblInvoices[[#This Row],[Due Date]]&gt;=1,$M$3-tblInvoices[[#This Row],[Due Date]]&lt;=30),tblInvoices[[#This Row],[Invoice Amount]],0)</f>
        <v>0</v>
      </c>
      <c r="H88" s="108">
        <f>IF(AND($M$3-tblInvoices[[#This Row],[Due Date]]&gt;=31,$M$3-tblInvoices[[#This Row],[Due Date]]&lt;=60),tblInvoices[[#This Row],[Invoice Amount]],0)</f>
        <v>0</v>
      </c>
      <c r="I88" s="123">
        <f>IF(AND($M$3-tblInvoices[[#This Row],[Due Date]]&gt;=61,$M$3-tblInvoices[[#This Row],[Due Date]]&lt;=90),tblInvoices[[#This Row],[Invoice Amount]],0)</f>
        <v>0</v>
      </c>
      <c r="J88" s="108">
        <f>IF($M$3-tblInvoices[[#This Row],[Due Date]]&gt;=91,tblInvoices[[#This Row],[Invoice Amount]],0)</f>
        <v>0</v>
      </c>
    </row>
    <row r="89" ht="14.25" customHeight="1">
      <c r="A89" s="113" t="s">
        <v>27</v>
      </c>
      <c r="B89" s="115">
        <v>186</v>
      </c>
      <c r="C89" s="117">
        <v>46142</v>
      </c>
      <c r="D89" s="120">
        <f>tblInvoices[[#This Row],[Invoice Date]]+30</f>
        <v>46172</v>
      </c>
      <c r="E89" s="123">
        <v>528</v>
      </c>
      <c r="F89" s="108">
        <f>IF($M$3&gt;tblInvoices[[#This Row],[Due Date]],tblInvoices[[#This Row],[Invoice Amount]],0)</f>
        <v>528</v>
      </c>
      <c r="G89" s="123">
        <f>IF(AND($M$3-tblInvoices[[#This Row],[Due Date]]&gt;=1,$M$3-tblInvoices[[#This Row],[Due Date]]&lt;=30),tblInvoices[[#This Row],[Invoice Amount]],0)</f>
        <v>0</v>
      </c>
      <c r="H89" s="108">
        <f>IF(AND($M$3-tblInvoices[[#This Row],[Due Date]]&gt;=31,$M$3-tblInvoices[[#This Row],[Due Date]]&lt;=60),tblInvoices[[#This Row],[Invoice Amount]],0)</f>
        <v>528</v>
      </c>
      <c r="I89" s="123">
        <f>IF(AND($M$3-tblInvoices[[#This Row],[Due Date]]&gt;=61,$M$3-tblInvoices[[#This Row],[Due Date]]&lt;=90),tblInvoices[[#This Row],[Invoice Amount]],0)</f>
        <v>0</v>
      </c>
      <c r="J89" s="108">
        <f>IF($M$3-tblInvoices[[#This Row],[Due Date]]&gt;=91,tblInvoices[[#This Row],[Invoice Amount]],0)</f>
        <v>0</v>
      </c>
    </row>
    <row r="90" ht="14.25" customHeight="1">
      <c r="A90" s="113" t="s">
        <v>49</v>
      </c>
      <c r="B90" s="115">
        <v>187</v>
      </c>
      <c r="C90" s="117">
        <v>46147</v>
      </c>
      <c r="D90" s="120">
        <f>tblInvoices[[#This Row],[Invoice Date]]+30</f>
        <v>46177</v>
      </c>
      <c r="E90" s="123">
        <v>881</v>
      </c>
      <c r="F90" s="108">
        <f>IF($M$3&gt;tblInvoices[[#This Row],[Due Date]],tblInvoices[[#This Row],[Invoice Amount]],0)</f>
        <v>881</v>
      </c>
      <c r="G90" s="123">
        <f>IF(AND($M$3-tblInvoices[[#This Row],[Due Date]]&gt;=1,$M$3-tblInvoices[[#This Row],[Due Date]]&lt;=30),tblInvoices[[#This Row],[Invoice Amount]],0)</f>
        <v>881</v>
      </c>
      <c r="H90" s="108">
        <f>IF(AND($M$3-tblInvoices[[#This Row],[Due Date]]&gt;=31,$M$3-tblInvoices[[#This Row],[Due Date]]&lt;=60),tblInvoices[[#This Row],[Invoice Amount]],0)</f>
        <v>0</v>
      </c>
      <c r="I90" s="123">
        <f>IF(AND($M$3-tblInvoices[[#This Row],[Due Date]]&gt;=61,$M$3-tblInvoices[[#This Row],[Due Date]]&lt;=90),tblInvoices[[#This Row],[Invoice Amount]],0)</f>
        <v>0</v>
      </c>
      <c r="J90" s="108">
        <f>IF($M$3-tblInvoices[[#This Row],[Due Date]]&gt;=91,tblInvoices[[#This Row],[Invoice Amount]],0)</f>
        <v>0</v>
      </c>
    </row>
    <row r="91" ht="14.25" customHeight="1">
      <c r="A91" s="113" t="s">
        <v>17</v>
      </c>
      <c r="B91" s="115">
        <v>188</v>
      </c>
      <c r="C91" s="117">
        <v>46120</v>
      </c>
      <c r="D91" s="120">
        <f>tblInvoices[[#This Row],[Invoice Date]]+30</f>
        <v>46150</v>
      </c>
      <c r="E91" s="123">
        <v>314</v>
      </c>
      <c r="F91" s="108">
        <f>IF($M$3&gt;tblInvoices[[#This Row],[Due Date]],tblInvoices[[#This Row],[Invoice Amount]],0)</f>
        <v>314</v>
      </c>
      <c r="G91" s="123">
        <f>IF(AND($M$3-tblInvoices[[#This Row],[Due Date]]&gt;=1,$M$3-tblInvoices[[#This Row],[Due Date]]&lt;=30),tblInvoices[[#This Row],[Invoice Amount]],0)</f>
        <v>0</v>
      </c>
      <c r="H91" s="108">
        <f>IF(AND($M$3-tblInvoices[[#This Row],[Due Date]]&gt;=31,$M$3-tblInvoices[[#This Row],[Due Date]]&lt;=60),tblInvoices[[#This Row],[Invoice Amount]],0)</f>
        <v>314</v>
      </c>
      <c r="I91" s="123">
        <f>IF(AND($M$3-tblInvoices[[#This Row],[Due Date]]&gt;=61,$M$3-tblInvoices[[#This Row],[Due Date]]&lt;=90),tblInvoices[[#This Row],[Invoice Amount]],0)</f>
        <v>0</v>
      </c>
      <c r="J91" s="108">
        <f>IF($M$3-tblInvoices[[#This Row],[Due Date]]&gt;=91,tblInvoices[[#This Row],[Invoice Amount]],0)</f>
        <v>0</v>
      </c>
    </row>
    <row r="92" ht="14.25" customHeight="1">
      <c r="A92" s="113" t="s">
        <v>50</v>
      </c>
      <c r="B92" s="115">
        <v>189</v>
      </c>
      <c r="C92" s="117">
        <v>46159</v>
      </c>
      <c r="D92" s="120">
        <f>tblInvoices[[#This Row],[Invoice Date]]+30</f>
        <v>46189</v>
      </c>
      <c r="E92" s="123">
        <v>866</v>
      </c>
      <c r="F92" s="108">
        <f>IF($M$3&gt;tblInvoices[[#This Row],[Due Date]],tblInvoices[[#This Row],[Invoice Amount]],0)</f>
        <v>866</v>
      </c>
      <c r="G92" s="123">
        <f>IF(AND($M$3-tblInvoices[[#This Row],[Due Date]]&gt;=1,$M$3-tblInvoices[[#This Row],[Due Date]]&lt;=30),tblInvoices[[#This Row],[Invoice Amount]],0)</f>
        <v>866</v>
      </c>
      <c r="H92" s="108">
        <f>IF(AND($M$3-tblInvoices[[#This Row],[Due Date]]&gt;=31,$M$3-tblInvoices[[#This Row],[Due Date]]&lt;=60),tblInvoices[[#This Row],[Invoice Amount]],0)</f>
        <v>0</v>
      </c>
      <c r="I92" s="123">
        <f>IF(AND($M$3-tblInvoices[[#This Row],[Due Date]]&gt;=61,$M$3-tblInvoices[[#This Row],[Due Date]]&lt;=90),tblInvoices[[#This Row],[Invoice Amount]],0)</f>
        <v>0</v>
      </c>
      <c r="J92" s="108">
        <f>IF($M$3-tblInvoices[[#This Row],[Due Date]]&gt;=91,tblInvoices[[#This Row],[Invoice Amount]],0)</f>
        <v>0</v>
      </c>
    </row>
    <row r="93" ht="14.25" customHeight="1">
      <c r="A93" s="113" t="s">
        <v>43</v>
      </c>
      <c r="B93" s="115">
        <v>190</v>
      </c>
      <c r="C93" s="117">
        <v>46197</v>
      </c>
      <c r="D93" s="120">
        <f>tblInvoices[[#This Row],[Invoice Date]]+30</f>
        <v>46227</v>
      </c>
      <c r="E93" s="123">
        <v>443</v>
      </c>
      <c r="F93" s="108">
        <f>IF($M$3&gt;tblInvoices[[#This Row],[Due Date]],tblInvoices[[#This Row],[Invoice Amount]],0)</f>
        <v>0</v>
      </c>
      <c r="G93" s="123">
        <f>IF(AND($M$3-tblInvoices[[#This Row],[Due Date]]&gt;=1,$M$3-tblInvoices[[#This Row],[Due Date]]&lt;=30),tblInvoices[[#This Row],[Invoice Amount]],0)</f>
        <v>0</v>
      </c>
      <c r="H93" s="108">
        <f>IF(AND($M$3-tblInvoices[[#This Row],[Due Date]]&gt;=31,$M$3-tblInvoices[[#This Row],[Due Date]]&lt;=60),tblInvoices[[#This Row],[Invoice Amount]],0)</f>
        <v>0</v>
      </c>
      <c r="I93" s="123">
        <f>IF(AND($M$3-tblInvoices[[#This Row],[Due Date]]&gt;=61,$M$3-tblInvoices[[#This Row],[Due Date]]&lt;=90),tblInvoices[[#This Row],[Invoice Amount]],0)</f>
        <v>0</v>
      </c>
      <c r="J93" s="108">
        <f>IF($M$3-tblInvoices[[#This Row],[Due Date]]&gt;=91,tblInvoices[[#This Row],[Invoice Amount]],0)</f>
        <v>0</v>
      </c>
    </row>
    <row r="94" ht="14.25" customHeight="1">
      <c r="A94" s="113" t="s">
        <v>35</v>
      </c>
      <c r="B94" s="115">
        <v>191</v>
      </c>
      <c r="C94" s="117">
        <v>46147</v>
      </c>
      <c r="D94" s="120">
        <f>tblInvoices[[#This Row],[Invoice Date]]+30</f>
        <v>46177</v>
      </c>
      <c r="E94" s="123">
        <v>841</v>
      </c>
      <c r="F94" s="108">
        <f>IF($M$3&gt;tblInvoices[[#This Row],[Due Date]],tblInvoices[[#This Row],[Invoice Amount]],0)</f>
        <v>841</v>
      </c>
      <c r="G94" s="123">
        <f>IF(AND($M$3-tblInvoices[[#This Row],[Due Date]]&gt;=1,$M$3-tblInvoices[[#This Row],[Due Date]]&lt;=30),tblInvoices[[#This Row],[Invoice Amount]],0)</f>
        <v>841</v>
      </c>
      <c r="H94" s="108">
        <f>IF(AND($M$3-tblInvoices[[#This Row],[Due Date]]&gt;=31,$M$3-tblInvoices[[#This Row],[Due Date]]&lt;=60),tblInvoices[[#This Row],[Invoice Amount]],0)</f>
        <v>0</v>
      </c>
      <c r="I94" s="123">
        <f>IF(AND($M$3-tblInvoices[[#This Row],[Due Date]]&gt;=61,$M$3-tblInvoices[[#This Row],[Due Date]]&lt;=90),tblInvoices[[#This Row],[Invoice Amount]],0)</f>
        <v>0</v>
      </c>
      <c r="J94" s="108">
        <f>IF($M$3-tblInvoices[[#This Row],[Due Date]]&gt;=91,tblInvoices[[#This Row],[Invoice Amount]],0)</f>
        <v>0</v>
      </c>
    </row>
    <row r="95" ht="14.25" customHeight="1">
      <c r="A95" s="113" t="s">
        <v>23</v>
      </c>
      <c r="B95" s="115">
        <v>192</v>
      </c>
      <c r="C95" s="117">
        <v>46130</v>
      </c>
      <c r="D95" s="120">
        <f>tblInvoices[[#This Row],[Invoice Date]]+30</f>
        <v>46160</v>
      </c>
      <c r="E95" s="123">
        <v>836</v>
      </c>
      <c r="F95" s="108">
        <f>IF($M$3&gt;tblInvoices[[#This Row],[Due Date]],tblInvoices[[#This Row],[Invoice Amount]],0)</f>
        <v>836</v>
      </c>
      <c r="G95" s="123">
        <f>IF(AND($M$3-tblInvoices[[#This Row],[Due Date]]&gt;=1,$M$3-tblInvoices[[#This Row],[Due Date]]&lt;=30),tblInvoices[[#This Row],[Invoice Amount]],0)</f>
        <v>0</v>
      </c>
      <c r="H95" s="108">
        <f>IF(AND($M$3-tblInvoices[[#This Row],[Due Date]]&gt;=31,$M$3-tblInvoices[[#This Row],[Due Date]]&lt;=60),tblInvoices[[#This Row],[Invoice Amount]],0)</f>
        <v>836</v>
      </c>
      <c r="I95" s="123">
        <f>IF(AND($M$3-tblInvoices[[#This Row],[Due Date]]&gt;=61,$M$3-tblInvoices[[#This Row],[Due Date]]&lt;=90),tblInvoices[[#This Row],[Invoice Amount]],0)</f>
        <v>0</v>
      </c>
      <c r="J95" s="108">
        <f>IF($M$3-tblInvoices[[#This Row],[Due Date]]&gt;=91,tblInvoices[[#This Row],[Invoice Amount]],0)</f>
        <v>0</v>
      </c>
    </row>
    <row r="96" ht="14.25" customHeight="1">
      <c r="A96" s="113" t="s">
        <v>46</v>
      </c>
      <c r="B96" s="115">
        <v>193</v>
      </c>
      <c r="C96" s="117">
        <v>46185</v>
      </c>
      <c r="D96" s="120">
        <f>tblInvoices[[#This Row],[Invoice Date]]+30</f>
        <v>46215</v>
      </c>
      <c r="E96" s="123">
        <v>949</v>
      </c>
      <c r="F96" s="108">
        <f>IF($M$3&gt;tblInvoices[[#This Row],[Due Date]],tblInvoices[[#This Row],[Invoice Amount]],0)</f>
        <v>0</v>
      </c>
      <c r="G96" s="123">
        <f>IF(AND($M$3-tblInvoices[[#This Row],[Due Date]]&gt;=1,$M$3-tblInvoices[[#This Row],[Due Date]]&lt;=30),tblInvoices[[#This Row],[Invoice Amount]],0)</f>
        <v>0</v>
      </c>
      <c r="H96" s="108">
        <f>IF(AND($M$3-tblInvoices[[#This Row],[Due Date]]&gt;=31,$M$3-tblInvoices[[#This Row],[Due Date]]&lt;=60),tblInvoices[[#This Row],[Invoice Amount]],0)</f>
        <v>0</v>
      </c>
      <c r="I96" s="123">
        <f>IF(AND($M$3-tblInvoices[[#This Row],[Due Date]]&gt;=61,$M$3-tblInvoices[[#This Row],[Due Date]]&lt;=90),tblInvoices[[#This Row],[Invoice Amount]],0)</f>
        <v>0</v>
      </c>
      <c r="J96" s="108">
        <f>IF($M$3-tblInvoices[[#This Row],[Due Date]]&gt;=91,tblInvoices[[#This Row],[Invoice Amount]],0)</f>
        <v>0</v>
      </c>
    </row>
    <row r="97" ht="14.25" customHeight="1">
      <c r="A97" s="113" t="s">
        <v>34</v>
      </c>
      <c r="B97" s="115">
        <v>194</v>
      </c>
      <c r="C97" s="117">
        <v>46185</v>
      </c>
      <c r="D97" s="120">
        <f>tblInvoices[[#This Row],[Invoice Date]]+30</f>
        <v>46215</v>
      </c>
      <c r="E97" s="123">
        <v>495</v>
      </c>
      <c r="F97" s="108">
        <f>IF($M$3&gt;tblInvoices[[#This Row],[Due Date]],tblInvoices[[#This Row],[Invoice Amount]],0)</f>
        <v>0</v>
      </c>
      <c r="G97" s="123">
        <f>IF(AND($M$3-tblInvoices[[#This Row],[Due Date]]&gt;=1,$M$3-tblInvoices[[#This Row],[Due Date]]&lt;=30),tblInvoices[[#This Row],[Invoice Amount]],0)</f>
        <v>0</v>
      </c>
      <c r="H97" s="108">
        <f>IF(AND($M$3-tblInvoices[[#This Row],[Due Date]]&gt;=31,$M$3-tblInvoices[[#This Row],[Due Date]]&lt;=60),tblInvoices[[#This Row],[Invoice Amount]],0)</f>
        <v>0</v>
      </c>
      <c r="I97" s="123">
        <f>IF(AND($M$3-tblInvoices[[#This Row],[Due Date]]&gt;=61,$M$3-tblInvoices[[#This Row],[Due Date]]&lt;=90),tblInvoices[[#This Row],[Invoice Amount]],0)</f>
        <v>0</v>
      </c>
      <c r="J97" s="108">
        <f>IF($M$3-tblInvoices[[#This Row],[Due Date]]&gt;=91,tblInvoices[[#This Row],[Invoice Amount]],0)</f>
        <v>0</v>
      </c>
    </row>
    <row r="98" ht="14.25" customHeight="1">
      <c r="A98" s="113" t="s">
        <v>30</v>
      </c>
      <c r="B98" s="115">
        <v>195</v>
      </c>
      <c r="C98" s="117">
        <v>46172</v>
      </c>
      <c r="D98" s="120">
        <f>tblInvoices[[#This Row],[Invoice Date]]+30</f>
        <v>46202</v>
      </c>
      <c r="E98" s="123">
        <v>763</v>
      </c>
      <c r="F98" s="108">
        <f>IF($M$3&gt;tblInvoices[[#This Row],[Due Date]],tblInvoices[[#This Row],[Invoice Amount]],0)</f>
        <v>763</v>
      </c>
      <c r="G98" s="123">
        <f>IF(AND($M$3-tblInvoices[[#This Row],[Due Date]]&gt;=1,$M$3-tblInvoices[[#This Row],[Due Date]]&lt;=30),tblInvoices[[#This Row],[Invoice Amount]],0)</f>
        <v>763</v>
      </c>
      <c r="H98" s="108">
        <f>IF(AND($M$3-tblInvoices[[#This Row],[Due Date]]&gt;=31,$M$3-tblInvoices[[#This Row],[Due Date]]&lt;=60),tblInvoices[[#This Row],[Invoice Amount]],0)</f>
        <v>0</v>
      </c>
      <c r="I98" s="123">
        <f>IF(AND($M$3-tblInvoices[[#This Row],[Due Date]]&gt;=61,$M$3-tblInvoices[[#This Row],[Due Date]]&lt;=90),tblInvoices[[#This Row],[Invoice Amount]],0)</f>
        <v>0</v>
      </c>
      <c r="J98" s="108">
        <f>IF($M$3-tblInvoices[[#This Row],[Due Date]]&gt;=91,tblInvoices[[#This Row],[Invoice Amount]],0)</f>
        <v>0</v>
      </c>
    </row>
    <row r="99" ht="14.25" customHeight="1">
      <c r="A99" s="113" t="s">
        <v>32</v>
      </c>
      <c r="B99" s="115">
        <v>196</v>
      </c>
      <c r="C99" s="117">
        <v>46166</v>
      </c>
      <c r="D99" s="120">
        <f>tblInvoices[[#This Row],[Invoice Date]]+30</f>
        <v>46196</v>
      </c>
      <c r="E99" s="123">
        <v>714</v>
      </c>
      <c r="F99" s="108">
        <f>IF($M$3&gt;tblInvoices[[#This Row],[Due Date]],tblInvoices[[#This Row],[Invoice Amount]],0)</f>
        <v>714</v>
      </c>
      <c r="G99" s="123">
        <f>IF(AND($M$3-tblInvoices[[#This Row],[Due Date]]&gt;=1,$M$3-tblInvoices[[#This Row],[Due Date]]&lt;=30),tblInvoices[[#This Row],[Invoice Amount]],0)</f>
        <v>714</v>
      </c>
      <c r="H99" s="108">
        <f>IF(AND($M$3-tblInvoices[[#This Row],[Due Date]]&gt;=31,$M$3-tblInvoices[[#This Row],[Due Date]]&lt;=60),tblInvoices[[#This Row],[Invoice Amount]],0)</f>
        <v>0</v>
      </c>
      <c r="I99" s="123">
        <f>IF(AND($M$3-tblInvoices[[#This Row],[Due Date]]&gt;=61,$M$3-tblInvoices[[#This Row],[Due Date]]&lt;=90),tblInvoices[[#This Row],[Invoice Amount]],0)</f>
        <v>0</v>
      </c>
      <c r="J99" s="108">
        <f>IF($M$3-tblInvoices[[#This Row],[Due Date]]&gt;=91,tblInvoices[[#This Row],[Invoice Amount]],0)</f>
        <v>0</v>
      </c>
    </row>
    <row r="100" ht="14.25" customHeight="1">
      <c r="A100" s="113" t="s">
        <v>48</v>
      </c>
      <c r="B100" s="115">
        <v>197</v>
      </c>
      <c r="C100" s="117">
        <v>46151</v>
      </c>
      <c r="D100" s="120">
        <f>tblInvoices[[#This Row],[Invoice Date]]+30</f>
        <v>46181</v>
      </c>
      <c r="E100" s="123">
        <v>615</v>
      </c>
      <c r="F100" s="108">
        <f>IF($M$3&gt;tblInvoices[[#This Row],[Due Date]],tblInvoices[[#This Row],[Invoice Amount]],0)</f>
        <v>615</v>
      </c>
      <c r="G100" s="123">
        <f>IF(AND($M$3-tblInvoices[[#This Row],[Due Date]]&gt;=1,$M$3-tblInvoices[[#This Row],[Due Date]]&lt;=30),tblInvoices[[#This Row],[Invoice Amount]],0)</f>
        <v>615</v>
      </c>
      <c r="H100" s="108">
        <f>IF(AND($M$3-tblInvoices[[#This Row],[Due Date]]&gt;=31,$M$3-tblInvoices[[#This Row],[Due Date]]&lt;=60),tblInvoices[[#This Row],[Invoice Amount]],0)</f>
        <v>0</v>
      </c>
      <c r="I100" s="123">
        <f>IF(AND($M$3-tblInvoices[[#This Row],[Due Date]]&gt;=61,$M$3-tblInvoices[[#This Row],[Due Date]]&lt;=90),tblInvoices[[#This Row],[Invoice Amount]],0)</f>
        <v>0</v>
      </c>
      <c r="J100" s="108">
        <f>IF($M$3-tblInvoices[[#This Row],[Due Date]]&gt;=91,tblInvoices[[#This Row],[Invoice Amount]],0)</f>
        <v>0</v>
      </c>
    </row>
    <row r="101" ht="14.25" customHeight="1">
      <c r="A101" s="113" t="s">
        <v>37</v>
      </c>
      <c r="B101" s="115">
        <v>198</v>
      </c>
      <c r="C101" s="117">
        <v>46104</v>
      </c>
      <c r="D101" s="120">
        <f>tblInvoices[[#This Row],[Invoice Date]]+30</f>
        <v>46134</v>
      </c>
      <c r="E101" s="123">
        <v>887</v>
      </c>
      <c r="F101" s="108">
        <f>IF($M$3&gt;tblInvoices[[#This Row],[Due Date]],tblInvoices[[#This Row],[Invoice Amount]],0)</f>
        <v>887</v>
      </c>
      <c r="G101" s="123">
        <f>IF(AND($M$3-tblInvoices[[#This Row],[Due Date]]&gt;=1,$M$3-tblInvoices[[#This Row],[Due Date]]&lt;=30),tblInvoices[[#This Row],[Invoice Amount]],0)</f>
        <v>0</v>
      </c>
      <c r="H101" s="108">
        <f>IF(AND($M$3-tblInvoices[[#This Row],[Due Date]]&gt;=31,$M$3-tblInvoices[[#This Row],[Due Date]]&lt;=60),tblInvoices[[#This Row],[Invoice Amount]],0)</f>
        <v>0</v>
      </c>
      <c r="I101" s="123">
        <f>IF(AND($M$3-tblInvoices[[#This Row],[Due Date]]&gt;=61,$M$3-tblInvoices[[#This Row],[Due Date]]&lt;=90),tblInvoices[[#This Row],[Invoice Amount]],0)</f>
        <v>887</v>
      </c>
      <c r="J101" s="108">
        <f>IF($M$3-tblInvoices[[#This Row],[Due Date]]&gt;=91,tblInvoices[[#This Row],[Invoice Amount]],0)</f>
        <v>0</v>
      </c>
    </row>
    <row r="102" ht="14.25" customHeight="1">
      <c r="A102" s="113" t="s">
        <v>50</v>
      </c>
      <c r="B102" s="115">
        <v>199</v>
      </c>
      <c r="C102" s="117">
        <v>46153</v>
      </c>
      <c r="D102" s="120">
        <f>tblInvoices[[#This Row],[Invoice Date]]+30</f>
        <v>46183</v>
      </c>
      <c r="E102" s="123">
        <v>431</v>
      </c>
      <c r="F102" s="108">
        <f>IF($M$3&gt;tblInvoices[[#This Row],[Due Date]],tblInvoices[[#This Row],[Invoice Amount]],0)</f>
        <v>431</v>
      </c>
      <c r="G102" s="123">
        <f>IF(AND($M$3-tblInvoices[[#This Row],[Due Date]]&gt;=1,$M$3-tblInvoices[[#This Row],[Due Date]]&lt;=30),tblInvoices[[#This Row],[Invoice Amount]],0)</f>
        <v>431</v>
      </c>
      <c r="H102" s="108">
        <f>IF(AND($M$3-tblInvoices[[#This Row],[Due Date]]&gt;=31,$M$3-tblInvoices[[#This Row],[Due Date]]&lt;=60),tblInvoices[[#This Row],[Invoice Amount]],0)</f>
        <v>0</v>
      </c>
      <c r="I102" s="123">
        <f>IF(AND($M$3-tblInvoices[[#This Row],[Due Date]]&gt;=61,$M$3-tblInvoices[[#This Row],[Due Date]]&lt;=90),tblInvoices[[#This Row],[Invoice Amount]],0)</f>
        <v>0</v>
      </c>
      <c r="J102" s="108">
        <f>IF($M$3-tblInvoices[[#This Row],[Due Date]]&gt;=91,tblInvoices[[#This Row],[Invoice Amount]],0)</f>
        <v>0</v>
      </c>
    </row>
    <row r="103" ht="14.25" customHeight="1">
      <c r="A103" s="114" t="s">
        <v>41</v>
      </c>
      <c r="B103" s="116">
        <v>200</v>
      </c>
      <c r="C103" s="118">
        <v>46110</v>
      </c>
      <c r="D103" s="121">
        <f>tblInvoices[[#This Row],[Invoice Date]]+30</f>
        <v>46140</v>
      </c>
      <c r="E103" s="124">
        <v>999</v>
      </c>
      <c r="F103" s="125">
        <f>IF($M$3&gt;tblInvoices[[#This Row],[Due Date]],tblInvoices[[#This Row],[Invoice Amount]],0)</f>
        <v>999</v>
      </c>
      <c r="G103" s="124">
        <f>IF(AND($M$3-tblInvoices[[#This Row],[Due Date]]&gt;=1,$M$3-tblInvoices[[#This Row],[Due Date]]&lt;=30),tblInvoices[[#This Row],[Invoice Amount]],0)</f>
        <v>0</v>
      </c>
      <c r="H103" s="125">
        <f>IF(AND($M$3-tblInvoices[[#This Row],[Due Date]]&gt;=31,$M$3-tblInvoices[[#This Row],[Due Date]]&lt;=60),tblInvoices[[#This Row],[Invoice Amount]],0)</f>
        <v>0</v>
      </c>
      <c r="I103" s="124">
        <f>IF(AND($M$3-tblInvoices[[#This Row],[Due Date]]&gt;=61,$M$3-tblInvoices[[#This Row],[Due Date]]&lt;=90),tblInvoices[[#This Row],[Invoice Amount]],0)</f>
        <v>999</v>
      </c>
      <c r="J103" s="125">
        <f>IF($M$3-tblInvoices[[#This Row],[Due Date]]&gt;=91,tblInvoices[[#This Row],[Invoice Amount]],0)</f>
        <v>0</v>
      </c>
    </row>
  </sheetData>
  <mergeCells>
    <mergeCell ref="A1:C2"/>
  </mergeCells>
  <hyperlinks>
    <hyperlink ref="A1:C2" r:id="rId1" display="View More Table Demos"/>
    <hyperlink ref="B1" r:id="rId2" display="View More Table Demos"/>
    <hyperlink ref="C1" r:id="rId3" display="View More Table Demos"/>
    <hyperlink ref="A2" r:id="rId4" display="View More Table Demos"/>
    <hyperlink ref="B2" r:id="rId5" display="View More Table Demos"/>
    <hyperlink ref="C2" r:id="rId6" display="View More Table Demos"/>
  </hyperlink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tableParts count="1">
    <tablePart r:id="rId7"/>
  </tableParts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7A5E553-7488-404F-A877-23F348E99E9F}" mc:Ignorable="x14ac xr xr2 xr3">
  <dimension ref="A1:AR31"/>
  <sheetViews>
    <sheetView showGridLines="0" topLeftCell="A1" zoomScale="70" workbookViewId="0">
      <selection activeCell="I7" sqref="I7:J7"/>
    </sheetView>
  </sheetViews>
  <sheetFormatPr defaultRowHeight="15" defaultColWidth="8.8515625" customHeight="1"/>
  <cols>
    <col min="1" max="1" style="132" width="4.57421875" customWidth="1"/>
    <col min="2" max="13" width="4.57421875" customWidth="1"/>
    <col min="14" max="14" width="1.28125" customWidth="1"/>
    <col min="15" max="15" width="4.57421875" customWidth="1"/>
    <col min="16" max="16" style="224" width="4.57421875" customWidth="1"/>
    <col min="17" max="28" width="4.8515625" customWidth="1"/>
    <col min="29" max="29" width="1.7109375" customWidth="1"/>
    <col min="30" max="31" style="224" width="4.57421875" customWidth="1"/>
    <col min="32" max="43" width="5.57421875" customWidth="1"/>
    <col min="44" max="44" width="4.8515625" customWidth="1"/>
  </cols>
  <sheetData>
    <row r="1" ht="15" customHeight="1">
      <c r="A1" s="126" t="s">
        <v>65</v>
      </c>
      <c r="B1" s="127" t="s">
        <v>65</v>
      </c>
      <c r="C1" s="127" t="s">
        <v>65</v>
      </c>
      <c r="D1" s="127" t="s">
        <v>65</v>
      </c>
      <c r="E1" s="127" t="s">
        <v>65</v>
      </c>
      <c r="F1" s="127" t="s">
        <v>65</v>
      </c>
      <c r="G1" s="127" t="s">
        <v>65</v>
      </c>
      <c r="H1" s="127" t="s">
        <v>65</v>
      </c>
      <c r="I1" s="127" t="s">
        <v>65</v>
      </c>
      <c r="J1" s="127" t="s">
        <v>65</v>
      </c>
      <c r="K1" s="128"/>
      <c r="L1" s="128"/>
      <c r="M1" s="128"/>
      <c r="N1" s="128"/>
      <c r="O1" s="128"/>
      <c r="P1" s="129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9"/>
      <c r="AE1" s="129"/>
      <c r="AF1" s="128"/>
      <c r="AG1" s="128"/>
      <c r="AH1" s="128"/>
      <c r="AI1" s="128"/>
      <c r="AJ1" s="128"/>
      <c r="AK1" s="128"/>
      <c r="AL1" s="128"/>
      <c r="AM1" s="128"/>
      <c r="AN1" s="128"/>
      <c r="AO1" s="128"/>
      <c r="AP1" s="128"/>
      <c r="AQ1" s="128"/>
      <c r="AR1" s="128"/>
    </row>
    <row r="2" ht="15" customHeight="1">
      <c r="A2" s="130" t="s">
        <v>65</v>
      </c>
      <c r="B2" s="127" t="s">
        <v>65</v>
      </c>
      <c r="C2" s="127" t="s">
        <v>65</v>
      </c>
      <c r="D2" s="127" t="s">
        <v>65</v>
      </c>
      <c r="E2" s="127" t="s">
        <v>65</v>
      </c>
      <c r="F2" s="127" t="s">
        <v>65</v>
      </c>
      <c r="G2" s="127" t="s">
        <v>65</v>
      </c>
      <c r="H2" s="127" t="s">
        <v>65</v>
      </c>
      <c r="I2" s="127" t="s">
        <v>65</v>
      </c>
      <c r="J2" s="127" t="s">
        <v>65</v>
      </c>
      <c r="K2" s="128"/>
      <c r="L2" s="128"/>
      <c r="M2" s="128"/>
      <c r="N2" s="128"/>
      <c r="O2" s="128"/>
      <c r="P2" s="129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9"/>
      <c r="AE2" s="129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8"/>
      <c r="AR2" s="128"/>
    </row>
    <row r="3" ht="9" customHeight="1" s="131" customFormat="1">
      <c r="A3" s="132"/>
      <c r="P3" s="132"/>
      <c r="AD3" s="132"/>
      <c r="AE3" s="132"/>
    </row>
    <row r="4" ht="20.25" customHeight="1" s="131" customFormat="1">
      <c r="A4" s="132"/>
      <c r="B4" s="133" t="s">
        <v>66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P4" s="132"/>
      <c r="Q4" s="133" t="s">
        <v>67</v>
      </c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2"/>
      <c r="AE4" s="132"/>
      <c r="AF4" s="133" t="s">
        <v>68</v>
      </c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</row>
    <row r="5" ht="20.25" customHeight="1" s="131" customFormat="1">
      <c r="A5" s="132"/>
      <c r="P5" s="132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  <c r="AC5" s="131"/>
      <c r="AD5" s="132"/>
      <c r="AE5" s="132"/>
      <c r="AF5" s="134"/>
      <c r="AG5" s="134"/>
      <c r="AH5" s="134"/>
      <c r="AI5" s="134"/>
      <c r="AJ5" s="134"/>
      <c r="AK5" s="134"/>
      <c r="AL5" s="134"/>
      <c r="AM5" s="134"/>
      <c r="AN5" s="134"/>
      <c r="AO5" s="134"/>
      <c r="AP5" s="134"/>
      <c r="AQ5" s="134"/>
      <c r="AR5" s="134"/>
    </row>
    <row r="6" ht="20.25" customHeight="1">
      <c r="A6" s="132"/>
      <c r="B6" s="135"/>
      <c r="C6" s="136"/>
      <c r="D6" s="137"/>
      <c r="E6" s="138"/>
      <c r="F6" s="139"/>
      <c r="G6" s="140"/>
      <c r="H6" s="141"/>
      <c r="I6" s="142"/>
      <c r="J6" s="143"/>
      <c r="K6" s="143"/>
      <c r="L6" s="144"/>
      <c r="M6" s="144"/>
      <c r="N6" s="131"/>
      <c r="O6" s="131"/>
      <c r="P6" s="132"/>
      <c r="Q6" s="145" t="s">
        <v>69</v>
      </c>
      <c r="R6" s="145"/>
      <c r="S6" s="145"/>
      <c r="T6" s="145"/>
      <c r="U6" s="145"/>
      <c r="V6" s="145"/>
      <c r="W6" s="146" t="s">
        <v>70</v>
      </c>
      <c r="X6" s="146"/>
      <c r="Y6" s="146"/>
      <c r="Z6" s="146"/>
      <c r="AA6" s="146"/>
      <c r="AB6" s="146"/>
      <c r="AC6" s="131"/>
      <c r="AD6" s="132"/>
      <c r="AE6" s="132"/>
      <c r="AF6" s="147"/>
      <c r="AG6" s="148"/>
      <c r="AH6" s="148"/>
      <c r="AI6" s="148"/>
      <c r="AJ6" s="148"/>
      <c r="AK6" s="148"/>
      <c r="AL6" s="148"/>
      <c r="AM6" s="146" t="s">
        <v>71</v>
      </c>
      <c r="AN6" s="146"/>
      <c r="AO6" s="146"/>
      <c r="AP6" s="146"/>
      <c r="AQ6" s="146"/>
      <c r="AR6" s="146"/>
    </row>
    <row r="7" ht="20.25" customHeight="1">
      <c r="A7" s="132"/>
      <c r="B7" s="149"/>
      <c r="C7" s="150"/>
      <c r="D7" s="151"/>
      <c r="E7" s="152"/>
      <c r="F7" s="139"/>
      <c r="G7" s="153"/>
      <c r="H7" s="154"/>
      <c r="I7" s="155"/>
      <c r="J7" s="156"/>
      <c r="K7" s="156"/>
      <c r="L7" s="157"/>
      <c r="M7" s="157"/>
      <c r="N7" s="131"/>
      <c r="O7" s="131"/>
      <c r="P7" s="132"/>
      <c r="Q7" s="158" t="s">
        <v>72</v>
      </c>
      <c r="R7" s="158"/>
      <c r="S7" s="158"/>
      <c r="T7" s="158"/>
      <c r="U7" s="158"/>
      <c r="V7" s="158"/>
      <c r="W7" s="146" t="s">
        <v>73</v>
      </c>
      <c r="X7" s="146"/>
      <c r="Y7" s="146"/>
      <c r="Z7" s="146"/>
      <c r="AA7" s="146"/>
      <c r="AB7" s="146"/>
      <c r="AC7" s="131"/>
      <c r="AD7" s="132"/>
      <c r="AE7" s="132"/>
      <c r="AF7" s="147"/>
      <c r="AG7" s="159"/>
      <c r="AH7" s="159"/>
      <c r="AI7" s="159"/>
      <c r="AJ7" s="159"/>
      <c r="AK7" s="159"/>
      <c r="AL7" s="159"/>
      <c r="AM7" s="146" t="s">
        <v>74</v>
      </c>
      <c r="AN7" s="146"/>
      <c r="AO7" s="146"/>
      <c r="AP7" s="146"/>
      <c r="AQ7" s="146"/>
      <c r="AR7" s="146"/>
    </row>
    <row r="8" ht="20.25" customHeight="1">
      <c r="A8" s="132"/>
      <c r="B8" s="135"/>
      <c r="C8" s="136"/>
      <c r="D8" s="137"/>
      <c r="E8" s="138"/>
      <c r="F8" s="139"/>
      <c r="G8" s="140"/>
      <c r="H8" s="141"/>
      <c r="I8" s="142"/>
      <c r="J8" s="143"/>
      <c r="K8" s="143"/>
      <c r="L8" s="144"/>
      <c r="M8" s="144"/>
      <c r="N8" s="131"/>
      <c r="O8" s="131"/>
      <c r="P8" s="132"/>
      <c r="Q8" s="160" t="s">
        <v>75</v>
      </c>
      <c r="R8" s="160"/>
      <c r="S8" s="160"/>
      <c r="T8" s="160"/>
      <c r="U8" s="160"/>
      <c r="V8" s="160"/>
      <c r="W8" s="146" t="s">
        <v>76</v>
      </c>
      <c r="X8" s="146"/>
      <c r="Y8" s="146"/>
      <c r="Z8" s="146"/>
      <c r="AA8" s="146"/>
      <c r="AB8" s="146"/>
      <c r="AC8" s="131"/>
      <c r="AD8" s="132"/>
      <c r="AE8" s="132"/>
      <c r="AF8" s="147"/>
      <c r="AG8" s="161" t="s">
        <v>77</v>
      </c>
      <c r="AH8" s="161"/>
      <c r="AI8" s="161"/>
      <c r="AJ8" s="161"/>
      <c r="AK8" s="161"/>
      <c r="AL8" s="161"/>
      <c r="AM8" s="146" t="s">
        <v>78</v>
      </c>
      <c r="AN8" s="146"/>
      <c r="AO8" s="146"/>
      <c r="AP8" s="146"/>
      <c r="AQ8" s="146"/>
      <c r="AR8" s="146"/>
    </row>
    <row r="9" ht="20.25" customHeight="1">
      <c r="A9" s="132"/>
      <c r="B9" s="149"/>
      <c r="C9" s="150"/>
      <c r="D9" s="151"/>
      <c r="E9" s="152"/>
      <c r="F9" s="139"/>
      <c r="G9" s="153"/>
      <c r="H9" s="154"/>
      <c r="I9" s="155"/>
      <c r="J9" s="156"/>
      <c r="K9" s="156"/>
      <c r="L9" s="157"/>
      <c r="M9" s="157"/>
      <c r="N9" s="131"/>
      <c r="O9" s="131"/>
      <c r="P9" s="132"/>
      <c r="Q9" s="162" t="s">
        <v>79</v>
      </c>
      <c r="R9" s="162"/>
      <c r="S9" s="162"/>
      <c r="T9" s="162"/>
      <c r="U9" s="162"/>
      <c r="V9" s="162"/>
      <c r="W9" s="146" t="s">
        <v>80</v>
      </c>
      <c r="X9" s="146"/>
      <c r="Y9" s="146"/>
      <c r="Z9" s="146"/>
      <c r="AA9" s="146"/>
      <c r="AB9" s="146"/>
      <c r="AC9" s="131"/>
      <c r="AD9" s="132"/>
      <c r="AE9" s="132"/>
      <c r="AF9" s="147"/>
      <c r="AG9" s="163" t="b">
        <v>1</v>
      </c>
      <c r="AH9" s="163"/>
      <c r="AI9" s="163"/>
      <c r="AJ9" s="163"/>
      <c r="AK9" s="163"/>
      <c r="AL9" s="163"/>
      <c r="AM9" s="146" t="s">
        <v>81</v>
      </c>
      <c r="AN9" s="146"/>
      <c r="AO9" s="146"/>
      <c r="AP9" s="146"/>
      <c r="AQ9" s="146"/>
      <c r="AR9" s="146"/>
    </row>
    <row r="10" ht="20.25" customHeight="1">
      <c r="A10" s="132"/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2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2"/>
      <c r="AE10" s="132"/>
      <c r="AF10" s="134"/>
      <c r="AG10" s="164" t="s">
        <v>82</v>
      </c>
      <c r="AH10" s="164"/>
      <c r="AI10" s="164"/>
      <c r="AJ10" s="164"/>
      <c r="AK10" s="164"/>
      <c r="AL10" s="164"/>
      <c r="AM10" s="164"/>
      <c r="AN10" s="164"/>
      <c r="AO10" s="164"/>
      <c r="AP10" s="164"/>
      <c r="AQ10" s="164"/>
      <c r="AR10" s="164"/>
    </row>
    <row r="11" ht="20.25" customHeight="1">
      <c r="A11" s="132"/>
      <c r="B11" s="131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2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  <c r="AC11" s="131"/>
      <c r="AD11" s="132"/>
      <c r="AE11" s="132"/>
      <c r="AF11" s="131"/>
      <c r="AG11" s="131"/>
      <c r="AH11" s="131"/>
      <c r="AI11" s="131"/>
      <c r="AJ11" s="131"/>
      <c r="AK11" s="131"/>
      <c r="AL11" s="131"/>
      <c r="AM11" s="131"/>
      <c r="AN11" s="131"/>
      <c r="AO11" s="131"/>
      <c r="AP11" s="131"/>
      <c r="AQ11" s="131"/>
      <c r="AR11" s="131"/>
    </row>
    <row r="12" ht="20.25" customHeight="1">
      <c r="A12" s="165"/>
      <c r="B12" s="133" t="s">
        <v>83</v>
      </c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4"/>
      <c r="P12" s="165"/>
      <c r="Q12" s="133" t="s">
        <v>84</v>
      </c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65"/>
      <c r="AE12" s="165"/>
      <c r="AF12" s="133" t="s">
        <v>85</v>
      </c>
      <c r="AG12" s="133"/>
      <c r="AH12" s="133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</row>
    <row r="13" ht="20.25" customHeight="1">
      <c r="A13" s="165"/>
      <c r="B13" s="166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34"/>
      <c r="P13" s="165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65"/>
      <c r="AE13" s="165"/>
      <c r="AF13" s="134"/>
      <c r="AG13" s="134"/>
      <c r="AH13" s="134"/>
      <c r="AI13" s="134"/>
      <c r="AJ13" s="134"/>
      <c r="AK13" s="134"/>
      <c r="AL13" s="134"/>
      <c r="AM13" s="147"/>
      <c r="AN13" s="147"/>
      <c r="AO13" s="147"/>
      <c r="AP13" s="147"/>
      <c r="AQ13" s="147"/>
      <c r="AR13" s="147"/>
    </row>
    <row r="14" ht="20.25" customHeight="1">
      <c r="A14" s="165"/>
      <c r="B14" s="166"/>
      <c r="C14" s="167"/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9"/>
      <c r="O14" s="134"/>
      <c r="P14" s="165"/>
      <c r="Q14" s="147"/>
      <c r="R14" s="170" t="s">
        <v>69</v>
      </c>
      <c r="S14" s="170"/>
      <c r="T14" s="170"/>
      <c r="U14" s="170"/>
      <c r="V14" s="170"/>
      <c r="W14" s="170"/>
      <c r="X14" s="146" t="s">
        <v>86</v>
      </c>
      <c r="Y14" s="146"/>
      <c r="Z14" s="146"/>
      <c r="AA14" s="146"/>
      <c r="AB14" s="146"/>
      <c r="AC14" s="146"/>
      <c r="AD14" s="165"/>
      <c r="AE14" s="165"/>
      <c r="AF14" s="134"/>
      <c r="AG14" s="170" t="s">
        <v>87</v>
      </c>
      <c r="AH14" s="170"/>
      <c r="AI14" s="170"/>
      <c r="AJ14" s="170"/>
      <c r="AK14" s="170"/>
      <c r="AL14" s="170"/>
      <c r="AM14" s="134"/>
      <c r="AN14" s="134"/>
      <c r="AO14" s="134"/>
      <c r="AP14" s="134"/>
      <c r="AQ14" s="134"/>
      <c r="AR14" s="134"/>
    </row>
    <row r="15" ht="20.25" customHeight="1">
      <c r="A15" s="165"/>
      <c r="B15" s="166"/>
      <c r="C15" s="171"/>
      <c r="D15" s="172"/>
      <c r="E15" s="173"/>
      <c r="F15" s="173"/>
      <c r="G15" s="173"/>
      <c r="H15" s="173"/>
      <c r="I15" s="173"/>
      <c r="J15" s="173"/>
      <c r="K15" s="173"/>
      <c r="L15" s="173"/>
      <c r="M15" s="174"/>
      <c r="N15" s="175"/>
      <c r="O15" s="134"/>
      <c r="P15" s="165"/>
      <c r="Q15" s="147"/>
      <c r="R15" s="176" t="s">
        <v>69</v>
      </c>
      <c r="S15" s="176"/>
      <c r="T15" s="176"/>
      <c r="U15" s="176"/>
      <c r="V15" s="176"/>
      <c r="W15" s="176"/>
      <c r="X15" s="146" t="s">
        <v>88</v>
      </c>
      <c r="Y15" s="146"/>
      <c r="Z15" s="146"/>
      <c r="AA15" s="146"/>
      <c r="AB15" s="146"/>
      <c r="AC15" s="146"/>
      <c r="AD15" s="165"/>
      <c r="AE15" s="165"/>
      <c r="AF15" s="134"/>
      <c r="AG15" s="170" t="s">
        <v>89</v>
      </c>
      <c r="AH15" s="170"/>
      <c r="AI15" s="170"/>
      <c r="AJ15" s="170"/>
      <c r="AK15" s="170"/>
      <c r="AL15" s="170"/>
      <c r="AM15" s="134"/>
      <c r="AN15" s="134"/>
      <c r="AO15" s="134"/>
      <c r="AP15" s="134"/>
      <c r="AQ15" s="134"/>
      <c r="AR15" s="134"/>
    </row>
    <row r="16" ht="20.25" customHeight="1">
      <c r="A16" s="165"/>
      <c r="B16" s="166"/>
      <c r="C16" s="171"/>
      <c r="D16" s="177"/>
      <c r="E16" s="178"/>
      <c r="F16" s="179"/>
      <c r="G16" s="179"/>
      <c r="H16" s="179"/>
      <c r="I16" s="179"/>
      <c r="J16" s="179"/>
      <c r="K16" s="179"/>
      <c r="L16" s="180"/>
      <c r="M16" s="181"/>
      <c r="N16" s="175"/>
      <c r="O16" s="134"/>
      <c r="P16" s="165"/>
      <c r="Q16" s="147"/>
      <c r="R16" s="182" t="s">
        <v>69</v>
      </c>
      <c r="S16" s="182"/>
      <c r="T16" s="182"/>
      <c r="U16" s="182"/>
      <c r="V16" s="182"/>
      <c r="W16" s="182"/>
      <c r="X16" s="146" t="s">
        <v>90</v>
      </c>
      <c r="Y16" s="146"/>
      <c r="Z16" s="146"/>
      <c r="AA16" s="146"/>
      <c r="AB16" s="146"/>
      <c r="AC16" s="146"/>
      <c r="AD16" s="165"/>
      <c r="AE16" s="165"/>
      <c r="AF16" s="134"/>
      <c r="AG16" s="170" t="s">
        <v>91</v>
      </c>
      <c r="AH16" s="170"/>
      <c r="AI16" s="170"/>
      <c r="AJ16" s="170"/>
      <c r="AK16" s="170"/>
      <c r="AL16" s="170"/>
      <c r="AM16" s="134"/>
      <c r="AN16" s="134"/>
      <c r="AO16" s="134"/>
      <c r="AP16" s="134"/>
      <c r="AQ16" s="134"/>
      <c r="AR16" s="134"/>
    </row>
    <row r="17" ht="20.25" customHeight="1">
      <c r="A17" s="165"/>
      <c r="B17" s="166"/>
      <c r="C17" s="171"/>
      <c r="D17" s="177"/>
      <c r="E17" s="183"/>
      <c r="F17" s="184"/>
      <c r="G17" s="185"/>
      <c r="H17" s="185"/>
      <c r="I17" s="185"/>
      <c r="J17" s="185"/>
      <c r="K17" s="186"/>
      <c r="L17" s="187"/>
      <c r="M17" s="181"/>
      <c r="N17" s="175"/>
      <c r="O17" s="134"/>
      <c r="P17" s="165"/>
      <c r="Q17" s="147"/>
      <c r="R17" s="134"/>
      <c r="S17" s="134"/>
      <c r="T17" s="134"/>
      <c r="U17" s="134"/>
      <c r="V17" s="134"/>
      <c r="W17" s="134"/>
      <c r="X17" s="188"/>
      <c r="Y17" s="188"/>
      <c r="Z17" s="188"/>
      <c r="AA17" s="188"/>
      <c r="AB17" s="188"/>
      <c r="AC17" s="188"/>
      <c r="AD17" s="165"/>
      <c r="AE17" s="165"/>
      <c r="AF17" s="134"/>
      <c r="AG17" s="134"/>
      <c r="AH17" s="134"/>
      <c r="AI17" s="134"/>
      <c r="AJ17" s="134"/>
      <c r="AK17" s="134"/>
      <c r="AL17" s="134"/>
      <c r="AM17" s="134"/>
      <c r="AN17" s="134"/>
      <c r="AO17" s="134"/>
      <c r="AP17" s="134"/>
      <c r="AQ17" s="134"/>
      <c r="AR17" s="134"/>
    </row>
    <row r="18" ht="20.25" customHeight="1">
      <c r="A18" s="165"/>
      <c r="B18" s="166"/>
      <c r="C18" s="171"/>
      <c r="D18" s="177"/>
      <c r="E18" s="189"/>
      <c r="F18" s="190"/>
      <c r="G18" s="190"/>
      <c r="H18" s="190"/>
      <c r="I18" s="190"/>
      <c r="J18" s="190"/>
      <c r="K18" s="190"/>
      <c r="L18" s="191"/>
      <c r="M18" s="181"/>
      <c r="N18" s="175"/>
      <c r="O18" s="134"/>
      <c r="P18" s="165"/>
      <c r="Q18" s="134"/>
      <c r="R18" s="192" t="s">
        <v>92</v>
      </c>
      <c r="S18" s="192"/>
      <c r="T18" s="193" t="s">
        <v>93</v>
      </c>
      <c r="U18" s="193"/>
      <c r="V18" s="194" t="s">
        <v>94</v>
      </c>
      <c r="W18" s="194"/>
      <c r="X18" s="146" t="s">
        <v>95</v>
      </c>
      <c r="Y18" s="146"/>
      <c r="Z18" s="146"/>
      <c r="AA18" s="146"/>
      <c r="AB18" s="146"/>
      <c r="AC18" s="146"/>
      <c r="AD18" s="165"/>
      <c r="AE18" s="165"/>
      <c r="AF18" s="134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134"/>
      <c r="AR18" s="134"/>
    </row>
    <row r="19" ht="20.25" customHeight="1">
      <c r="A19" s="165"/>
      <c r="B19" s="166"/>
      <c r="C19" s="171"/>
      <c r="D19" s="195"/>
      <c r="E19" s="196"/>
      <c r="F19" s="196"/>
      <c r="G19" s="196"/>
      <c r="H19" s="196"/>
      <c r="I19" s="196"/>
      <c r="J19" s="196"/>
      <c r="K19" s="196"/>
      <c r="L19" s="196"/>
      <c r="M19" s="197"/>
      <c r="N19" s="175"/>
      <c r="O19" s="134"/>
      <c r="P19" s="165"/>
      <c r="Q19" s="134"/>
      <c r="R19" s="192"/>
      <c r="S19" s="192"/>
      <c r="T19" s="193"/>
      <c r="U19" s="193"/>
      <c r="V19" s="194"/>
      <c r="W19" s="194"/>
      <c r="X19" s="146" t="s">
        <v>96</v>
      </c>
      <c r="Y19" s="146"/>
      <c r="Z19" s="146"/>
      <c r="AA19" s="146"/>
      <c r="AB19" s="146"/>
      <c r="AC19" s="146"/>
      <c r="AD19" s="165"/>
      <c r="AE19" s="165"/>
      <c r="AF19" s="134"/>
      <c r="AG19" s="134"/>
      <c r="AH19" s="134"/>
      <c r="AI19" s="134"/>
      <c r="AJ19" s="134"/>
      <c r="AK19" s="134"/>
      <c r="AL19" s="134"/>
      <c r="AM19" s="134"/>
      <c r="AN19" s="134"/>
      <c r="AO19" s="134"/>
      <c r="AP19" s="134"/>
      <c r="AQ19" s="134"/>
      <c r="AR19" s="134"/>
    </row>
    <row r="20" ht="20.25" customHeight="1">
      <c r="A20" s="165"/>
      <c r="B20" s="166"/>
      <c r="C20" s="198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200"/>
      <c r="O20" s="134"/>
      <c r="P20" s="165"/>
      <c r="Q20" s="134"/>
      <c r="R20" s="192"/>
      <c r="S20" s="192"/>
      <c r="T20" s="193"/>
      <c r="U20" s="193"/>
      <c r="V20" s="194"/>
      <c r="W20" s="194"/>
      <c r="X20" s="146" t="s">
        <v>97</v>
      </c>
      <c r="Y20" s="146"/>
      <c r="Z20" s="146"/>
      <c r="AA20" s="146"/>
      <c r="AB20" s="146"/>
      <c r="AC20" s="146"/>
      <c r="AD20" s="165"/>
      <c r="AE20" s="165"/>
      <c r="AF20" s="134"/>
      <c r="AG20" s="134"/>
      <c r="AH20" s="134"/>
      <c r="AI20" s="134"/>
      <c r="AJ20" s="134"/>
      <c r="AK20" s="134"/>
      <c r="AL20" s="134"/>
      <c r="AM20" s="147"/>
      <c r="AN20" s="147"/>
      <c r="AO20" s="147"/>
      <c r="AP20" s="147"/>
      <c r="AQ20" s="147"/>
      <c r="AR20" s="147"/>
    </row>
    <row r="21" ht="20.25" customHeight="1">
      <c r="A21" s="201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20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  <c r="AC21" s="131"/>
      <c r="AD21" s="201"/>
      <c r="AE21" s="201"/>
      <c r="AF21" s="147"/>
      <c r="AG21" s="147"/>
      <c r="AH21" s="147"/>
      <c r="AI21" s="147"/>
      <c r="AJ21" s="147"/>
      <c r="AK21" s="147"/>
      <c r="AL21" s="147"/>
      <c r="AM21" s="147"/>
      <c r="AN21" s="147"/>
      <c r="AO21" s="147"/>
      <c r="AP21" s="147"/>
      <c r="AQ21" s="147"/>
      <c r="AR21" s="147"/>
    </row>
    <row r="22" ht="20.25" customHeight="1">
      <c r="A22" s="201"/>
      <c r="B22" s="133" t="s">
        <v>98</v>
      </c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47"/>
      <c r="P22" s="201"/>
      <c r="Q22" s="202" t="s">
        <v>99</v>
      </c>
      <c r="R22" s="202"/>
      <c r="S22" s="202"/>
      <c r="T22" s="202"/>
      <c r="U22" s="202"/>
      <c r="V22" s="202"/>
      <c r="W22" s="202"/>
      <c r="X22" s="202"/>
      <c r="Y22" s="202"/>
      <c r="Z22" s="202"/>
      <c r="AA22" s="202"/>
      <c r="AB22" s="202"/>
      <c r="AC22" s="202"/>
      <c r="AD22" s="201"/>
      <c r="AE22" s="201"/>
      <c r="AF22" s="133" t="s">
        <v>100</v>
      </c>
      <c r="AG22" s="133"/>
      <c r="AH22" s="133"/>
      <c r="AI22" s="133"/>
      <c r="AJ22" s="133"/>
      <c r="AK22" s="133"/>
      <c r="AL22" s="133"/>
      <c r="AM22" s="133"/>
      <c r="AN22" s="133"/>
      <c r="AO22" s="133"/>
      <c r="AP22" s="133"/>
      <c r="AQ22" s="133"/>
      <c r="AR22" s="133"/>
    </row>
    <row r="23" ht="20.25" customHeight="1">
      <c r="A23" s="165"/>
      <c r="B23" s="134"/>
      <c r="C23" s="134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65"/>
      <c r="Q23" s="134"/>
      <c r="R23" s="134"/>
      <c r="S23" s="134"/>
      <c r="T23" s="134"/>
      <c r="U23" s="134"/>
      <c r="V23" s="134"/>
      <c r="W23" s="134"/>
      <c r="X23" s="134"/>
      <c r="Y23" s="134"/>
      <c r="Z23" s="134"/>
      <c r="AA23" s="134"/>
      <c r="AB23" s="134"/>
      <c r="AC23" s="134"/>
      <c r="AD23" s="165"/>
      <c r="AE23" s="165"/>
      <c r="AF23" s="134"/>
      <c r="AG23" s="134"/>
      <c r="AH23" s="134"/>
      <c r="AI23" s="134"/>
      <c r="AJ23" s="134"/>
      <c r="AK23" s="134"/>
      <c r="AL23" s="134"/>
      <c r="AM23" s="147"/>
      <c r="AN23" s="147"/>
      <c r="AO23" s="147"/>
      <c r="AP23" s="147"/>
      <c r="AQ23" s="147"/>
      <c r="AR23" s="147"/>
    </row>
    <row r="24" ht="20.25" customHeight="1">
      <c r="A24" s="165"/>
      <c r="B24" s="166"/>
      <c r="C24" s="203"/>
      <c r="D24" s="203"/>
      <c r="E24" s="203"/>
      <c r="F24" s="203"/>
      <c r="G24" s="203"/>
      <c r="H24" s="203"/>
      <c r="I24" s="203"/>
      <c r="J24" s="203"/>
      <c r="K24" s="203"/>
      <c r="L24" s="203"/>
      <c r="M24" s="203"/>
      <c r="N24" s="203"/>
      <c r="O24" s="134"/>
      <c r="P24" s="165"/>
      <c r="Q24" s="134"/>
      <c r="R24" s="204" t="s">
        <v>101</v>
      </c>
      <c r="S24" s="204"/>
      <c r="T24" s="204"/>
      <c r="U24" s="204"/>
      <c r="V24" s="204"/>
      <c r="W24" s="204"/>
      <c r="X24" s="205" t="s">
        <v>102</v>
      </c>
      <c r="Y24" s="205"/>
      <c r="Z24" s="205"/>
      <c r="AA24" s="205"/>
      <c r="AB24" s="205"/>
      <c r="AC24" s="205"/>
      <c r="AD24" s="165"/>
      <c r="AE24" s="165"/>
      <c r="AF24" s="134"/>
      <c r="AG24" s="206"/>
      <c r="AH24" s="207"/>
      <c r="AI24" s="207"/>
      <c r="AJ24" s="208"/>
      <c r="AK24" s="208"/>
      <c r="AL24" s="208"/>
      <c r="AM24" s="208"/>
      <c r="AN24" s="208"/>
      <c r="AO24" s="208"/>
      <c r="AP24" s="208"/>
      <c r="AQ24" s="208"/>
      <c r="AR24" s="208"/>
    </row>
    <row r="25" ht="20.25" customHeight="1">
      <c r="A25" s="165"/>
      <c r="B25" s="166"/>
      <c r="C25" s="203"/>
      <c r="D25" s="203"/>
      <c r="E25" s="203"/>
      <c r="F25" s="203"/>
      <c r="G25" s="203"/>
      <c r="H25" s="203"/>
      <c r="I25" s="203"/>
      <c r="J25" s="203"/>
      <c r="K25" s="203"/>
      <c r="L25" s="203"/>
      <c r="M25" s="203"/>
      <c r="N25" s="203"/>
      <c r="O25" s="134"/>
      <c r="P25" s="165"/>
      <c r="Q25" s="134"/>
      <c r="R25" s="209">
        <v>1980</v>
      </c>
      <c r="S25" s="209"/>
      <c r="T25" s="209"/>
      <c r="U25" s="209"/>
      <c r="V25" s="209"/>
      <c r="W25" s="209"/>
      <c r="X25" s="205">
        <v>1980</v>
      </c>
      <c r="Y25" s="205"/>
      <c r="Z25" s="205"/>
      <c r="AA25" s="205"/>
      <c r="AB25" s="205"/>
      <c r="AC25" s="205"/>
      <c r="AD25" s="165"/>
      <c r="AE25" s="165"/>
      <c r="AF25" s="134"/>
      <c r="AG25" s="210" t="s">
        <v>103</v>
      </c>
      <c r="AH25" s="207"/>
      <c r="AI25" s="207"/>
      <c r="AJ25" s="208"/>
      <c r="AK25" s="208"/>
      <c r="AL25" s="208"/>
      <c r="AM25" s="208"/>
      <c r="AN25" s="208"/>
      <c r="AO25" s="208"/>
      <c r="AP25" s="208"/>
      <c r="AQ25" s="208"/>
      <c r="AR25" s="208"/>
    </row>
    <row r="26" ht="20.25" customHeight="1">
      <c r="A26" s="165"/>
      <c r="B26" s="166"/>
      <c r="C26" s="211"/>
      <c r="D26" s="211"/>
      <c r="E26" s="211"/>
      <c r="F26" s="211"/>
      <c r="G26" s="211"/>
      <c r="H26" s="211"/>
      <c r="I26" s="211"/>
      <c r="J26" s="211"/>
      <c r="K26" s="211"/>
      <c r="L26" s="211"/>
      <c r="M26" s="203"/>
      <c r="N26" s="203"/>
      <c r="O26" s="134"/>
      <c r="P26" s="165"/>
      <c r="Q26" s="134"/>
      <c r="R26" s="209">
        <v>24800</v>
      </c>
      <c r="S26" s="209"/>
      <c r="T26" s="209"/>
      <c r="U26" s="209"/>
      <c r="V26" s="209"/>
      <c r="W26" s="209"/>
      <c r="X26" s="205">
        <v>24800</v>
      </c>
      <c r="Y26" s="205"/>
      <c r="Z26" s="205"/>
      <c r="AA26" s="205"/>
      <c r="AB26" s="205"/>
      <c r="AC26" s="205"/>
      <c r="AD26" s="165"/>
      <c r="AE26" s="165"/>
      <c r="AF26" s="134"/>
      <c r="AG26" s="212" t="s">
        <v>104</v>
      </c>
      <c r="AH26" s="212"/>
      <c r="AI26" s="212"/>
      <c r="AJ26" s="212"/>
      <c r="AK26" s="212"/>
      <c r="AL26" s="212"/>
      <c r="AM26" s="212"/>
      <c r="AN26" s="212"/>
      <c r="AO26" s="212"/>
      <c r="AP26" s="212"/>
      <c r="AQ26" s="212"/>
      <c r="AR26" s="212"/>
    </row>
    <row r="27" ht="20.25" customHeight="1">
      <c r="A27" s="165"/>
      <c r="B27" s="166"/>
      <c r="C27" s="211"/>
      <c r="D27" s="211"/>
      <c r="E27" s="211"/>
      <c r="F27" s="211"/>
      <c r="G27" s="211"/>
      <c r="H27" s="211"/>
      <c r="I27" s="211"/>
      <c r="J27" s="211"/>
      <c r="K27" s="211"/>
      <c r="L27" s="211"/>
      <c r="M27" s="203"/>
      <c r="N27" s="203"/>
      <c r="O27" s="134"/>
      <c r="P27" s="165"/>
      <c r="Q27" s="134"/>
      <c r="R27" s="213">
        <v>0.25</v>
      </c>
      <c r="S27" s="213"/>
      <c r="T27" s="213"/>
      <c r="U27" s="213"/>
      <c r="V27" s="213"/>
      <c r="W27" s="213"/>
      <c r="X27" s="205">
        <v>0.25</v>
      </c>
      <c r="Y27" s="205"/>
      <c r="Z27" s="205"/>
      <c r="AA27" s="205"/>
      <c r="AB27" s="205"/>
      <c r="AC27" s="205"/>
      <c r="AD27" s="165"/>
      <c r="AE27" s="165"/>
      <c r="AF27" s="134"/>
      <c r="AG27" s="214"/>
      <c r="AH27" s="214"/>
      <c r="AI27" s="214"/>
      <c r="AJ27" s="214"/>
      <c r="AK27" s="214"/>
      <c r="AL27" s="214"/>
      <c r="AM27" s="214"/>
      <c r="AN27" s="214"/>
      <c r="AO27" s="214"/>
      <c r="AP27" s="214"/>
      <c r="AQ27" s="214"/>
      <c r="AR27" s="214"/>
    </row>
    <row r="28" ht="20.25" customHeight="1">
      <c r="A28" s="165"/>
      <c r="B28" s="166"/>
      <c r="C28" s="215"/>
      <c r="D28" s="215"/>
      <c r="E28" s="215"/>
      <c r="F28" s="215"/>
      <c r="G28" s="215"/>
      <c r="H28" s="215"/>
      <c r="I28" s="215"/>
      <c r="J28" s="215"/>
      <c r="K28" s="211"/>
      <c r="L28" s="211"/>
      <c r="M28" s="203"/>
      <c r="N28" s="203"/>
      <c r="O28" s="134"/>
      <c r="P28" s="165"/>
      <c r="Q28" s="134"/>
      <c r="R28" s="216">
        <v>0.25</v>
      </c>
      <c r="S28" s="216"/>
      <c r="T28" s="216"/>
      <c r="U28" s="216"/>
      <c r="V28" s="216"/>
      <c r="W28" s="216"/>
      <c r="X28" s="205">
        <v>0.25</v>
      </c>
      <c r="Y28" s="205"/>
      <c r="Z28" s="205"/>
      <c r="AA28" s="205"/>
      <c r="AB28" s="205"/>
      <c r="AC28" s="205"/>
      <c r="AD28" s="165"/>
      <c r="AE28" s="165"/>
      <c r="AF28" s="134"/>
      <c r="AG28" s="217" t="s">
        <v>103</v>
      </c>
      <c r="AH28" s="217"/>
      <c r="AI28" s="217"/>
      <c r="AJ28" s="217"/>
      <c r="AK28" s="217"/>
      <c r="AL28" s="147"/>
      <c r="AM28" s="147"/>
      <c r="AN28" s="147"/>
      <c r="AO28" s="147"/>
      <c r="AP28" s="147"/>
      <c r="AQ28" s="147"/>
      <c r="AR28" s="147"/>
    </row>
    <row r="29" ht="20.25" customHeight="1">
      <c r="A29" s="165"/>
      <c r="B29" s="166"/>
      <c r="C29" s="215"/>
      <c r="D29" s="215"/>
      <c r="E29" s="215"/>
      <c r="F29" s="215"/>
      <c r="G29" s="215"/>
      <c r="H29" s="215"/>
      <c r="I29" s="215"/>
      <c r="J29" s="215"/>
      <c r="K29" s="211"/>
      <c r="L29" s="211"/>
      <c r="M29" s="203"/>
      <c r="N29" s="203"/>
      <c r="O29" s="134"/>
      <c r="P29" s="165"/>
      <c r="Q29" s="134"/>
      <c r="R29" s="218">
        <v>46142</v>
      </c>
      <c r="S29" s="218"/>
      <c r="T29" s="218"/>
      <c r="U29" s="218"/>
      <c r="V29" s="218"/>
      <c r="W29" s="218"/>
      <c r="X29" s="219">
        <v>46142</v>
      </c>
      <c r="Y29" s="219"/>
      <c r="Z29" s="219"/>
      <c r="AA29" s="219"/>
      <c r="AB29" s="219"/>
      <c r="AC29" s="219"/>
      <c r="AD29" s="165"/>
      <c r="AE29" s="165"/>
      <c r="AF29" s="134"/>
      <c r="AG29" s="217"/>
      <c r="AH29" s="217"/>
      <c r="AI29" s="217"/>
      <c r="AJ29" s="217"/>
      <c r="AK29" s="217"/>
      <c r="AL29" s="220"/>
      <c r="AM29" s="220"/>
      <c r="AN29" s="220"/>
      <c r="AO29" s="220"/>
      <c r="AP29" s="220"/>
      <c r="AQ29" s="220"/>
      <c r="AR29" s="220"/>
    </row>
    <row r="30" ht="20.25" customHeight="1">
      <c r="A30" s="165"/>
      <c r="B30" s="166"/>
      <c r="C30" s="221"/>
      <c r="D30" s="221"/>
      <c r="E30" s="221"/>
      <c r="F30" s="221"/>
      <c r="G30" s="221"/>
      <c r="H30" s="221"/>
      <c r="I30" s="215"/>
      <c r="J30" s="215"/>
      <c r="K30" s="211"/>
      <c r="L30" s="211"/>
      <c r="M30" s="203"/>
      <c r="N30" s="203"/>
      <c r="O30" s="134"/>
      <c r="P30" s="165"/>
      <c r="Q30" s="134"/>
      <c r="R30" s="222">
        <v>46142</v>
      </c>
      <c r="S30" s="222"/>
      <c r="T30" s="222"/>
      <c r="U30" s="222"/>
      <c r="V30" s="222"/>
      <c r="W30" s="222"/>
      <c r="X30" s="219">
        <v>46142</v>
      </c>
      <c r="Y30" s="219"/>
      <c r="Z30" s="219"/>
      <c r="AA30" s="219"/>
      <c r="AB30" s="219"/>
      <c r="AC30" s="219"/>
      <c r="AD30" s="165"/>
      <c r="AE30" s="165"/>
      <c r="AF30" s="134"/>
      <c r="AG30" s="223" t="s">
        <v>105</v>
      </c>
      <c r="AH30" s="223"/>
      <c r="AI30" s="223"/>
      <c r="AJ30" s="223"/>
      <c r="AK30" s="223"/>
      <c r="AL30" s="223"/>
      <c r="AM30" s="223"/>
      <c r="AN30" s="223"/>
      <c r="AO30" s="223"/>
      <c r="AP30" s="223"/>
      <c r="AQ30" s="223"/>
      <c r="AR30" s="223"/>
    </row>
    <row r="31" ht="20.25" customHeight="1">
      <c r="A31" s="165"/>
      <c r="B31" s="166"/>
      <c r="C31" s="166"/>
      <c r="D31" s="166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34"/>
      <c r="P31" s="165"/>
      <c r="Q31" s="134"/>
      <c r="R31" s="134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66"/>
      <c r="AD31" s="165"/>
      <c r="AE31" s="165"/>
      <c r="AF31" s="131"/>
      <c r="AG31" s="131"/>
      <c r="AH31" s="131"/>
      <c r="AI31" s="131"/>
      <c r="AJ31" s="131"/>
      <c r="AK31" s="131"/>
      <c r="AL31" s="131"/>
      <c r="AM31" s="131"/>
      <c r="AN31" s="131"/>
      <c r="AO31" s="131"/>
      <c r="AP31" s="131"/>
      <c r="AQ31" s="131"/>
      <c r="AR31" s="131"/>
    </row>
  </sheetData>
  <mergeCells>
    <mergeCell ref="B4:N4"/>
    <mergeCell ref="Q4:AC4"/>
    <mergeCell ref="Q6:V6"/>
    <mergeCell ref="W6:AB6"/>
    <mergeCell ref="Q7:V7"/>
    <mergeCell ref="W7:AB7"/>
    <mergeCell ref="Q8:V8"/>
    <mergeCell ref="W8:AB8"/>
    <mergeCell ref="Q9:V9"/>
    <mergeCell ref="W9:AB9"/>
    <mergeCell ref="B12:N12"/>
    <mergeCell ref="B22:N22"/>
    <mergeCell ref="C24:N24"/>
    <mergeCell ref="C25:M25"/>
    <mergeCell ref="N25:N30"/>
    <mergeCell ref="C26:L26"/>
    <mergeCell ref="M26:M30"/>
    <mergeCell ref="C27:K27"/>
    <mergeCell ref="L27:L30"/>
    <mergeCell ref="C28:J28"/>
    <mergeCell ref="K28:K30"/>
    <mergeCell ref="C29:I29"/>
    <mergeCell ref="J29:J30"/>
    <mergeCell ref="C30:H30"/>
    <mergeCell ref="Q22:AC22"/>
    <mergeCell ref="R24:W24"/>
    <mergeCell ref="X24:AC24"/>
    <mergeCell ref="R25:W25"/>
    <mergeCell ref="X25:AC25"/>
    <mergeCell ref="R26:W26"/>
    <mergeCell ref="X26:AC26"/>
    <mergeCell ref="R27:W27"/>
    <mergeCell ref="X27:AC27"/>
    <mergeCell ref="R28:W28"/>
    <mergeCell ref="X28:AC28"/>
    <mergeCell ref="R29:W29"/>
    <mergeCell ref="X29:AC29"/>
    <mergeCell ref="R30:W30"/>
    <mergeCell ref="X30:AC30"/>
    <mergeCell ref="Q12:AC12"/>
    <mergeCell ref="R14:W14"/>
    <mergeCell ref="X14:AC14"/>
    <mergeCell ref="R15:W15"/>
    <mergeCell ref="X15:AC15"/>
    <mergeCell ref="R16:W16"/>
    <mergeCell ref="X16:AC16"/>
    <mergeCell ref="R18:S20"/>
    <mergeCell ref="T18:U20"/>
    <mergeCell ref="V18:W20"/>
    <mergeCell ref="X18:AC18"/>
    <mergeCell ref="X19:AC19"/>
    <mergeCell ref="X20:AC20"/>
    <mergeCell ref="AF22:AR22"/>
    <mergeCell ref="AG26:AR26"/>
    <mergeCell ref="AG28:AK29"/>
    <mergeCell ref="AG30:AR30"/>
    <mergeCell ref="AF12:AR12"/>
    <mergeCell ref="AG14:AL14"/>
    <mergeCell ref="AG15:AL15"/>
    <mergeCell ref="AG16:AL16"/>
    <mergeCell ref="AF4:AR4"/>
    <mergeCell ref="AG6:AL6"/>
    <mergeCell ref="AM6:AR6"/>
    <mergeCell ref="AG7:AL7"/>
    <mergeCell ref="AM7:AR7"/>
    <mergeCell ref="AG8:AL8"/>
    <mergeCell ref="AM8:AR8"/>
    <mergeCell ref="AG9:AL9"/>
    <mergeCell ref="AM9:AR9"/>
    <mergeCell ref="AG10:AR10"/>
    <mergeCell ref="A1:J2"/>
  </mergeCells>
  <hyperlinks>
    <hyperlink ref="A1:J2" r:id="rId1" display="View More Cell Demos"/>
    <hyperlink ref="B1" r:id="rId2" display="View More Cell Demos"/>
    <hyperlink ref="C1" r:id="rId3" display="View More Cell Demos"/>
    <hyperlink ref="D1" r:id="rId4" display="View More Cell Demos"/>
    <hyperlink ref="E1" r:id="rId5" display="View More Cell Demos"/>
    <hyperlink ref="F1" r:id="rId6" display="View More Cell Demos"/>
    <hyperlink ref="G1" r:id="rId7" display="View More Cell Demos"/>
    <hyperlink ref="H1" r:id="rId8" display="View More Cell Demos"/>
    <hyperlink ref="I1" r:id="rId9" display="View More Cell Demos"/>
    <hyperlink ref="J1" r:id="rId10" display="View More Cell Demos"/>
    <hyperlink ref="A2" r:id="rId11" display="View More Cell Demos"/>
    <hyperlink ref="B2" r:id="rId12" display="View More Cell Demos"/>
    <hyperlink ref="C2" r:id="rId13" display="View More Cell Demos"/>
    <hyperlink ref="D2" r:id="rId14" display="View More Cell Demos"/>
    <hyperlink ref="E2" r:id="rId15" display="View More Cell Demos"/>
    <hyperlink ref="F2" r:id="rId16" display="View More Cell Demos"/>
    <hyperlink ref="G2" r:id="rId17" display="View More Cell Demos"/>
    <hyperlink ref="H2" r:id="rId18" display="View More Cell Demos"/>
    <hyperlink ref="I2" r:id="rId19" display="View More Cell Demos"/>
    <hyperlink ref="J2" r:id="rId20" display="View More Cell Demos"/>
  </hyperlink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legacyDrawing r:id="rId22"/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B437FC3-AEF2-4633-B136-033C88532B3C}" mc:Ignorable="x14ac xr xr2 xr3">
  <dimension ref="A1:P21"/>
  <sheetViews>
    <sheetView showGridLines="0" topLeftCell="A1" workbookViewId="0">
      <selection activeCell="G6" sqref="G6:G7"/>
    </sheetView>
  </sheetViews>
  <sheetFormatPr defaultRowHeight="15" defaultColWidth="8.8515625" customHeight="1"/>
  <cols>
    <col min="1" max="1" width="3.8515625" customWidth="1"/>
    <col min="3" max="3" width="11.28125" customWidth="1"/>
    <col min="4" max="4" width="10.00390625" customWidth="1"/>
    <col min="6" max="6" width="17.7109375" customWidth="1"/>
    <col min="7" max="7" width="16.421875" customWidth="1"/>
    <col min="8" max="8" width="2.8515625" customWidth="1"/>
    <col min="9" max="9" width="4.421875" customWidth="1"/>
    <col min="11" max="11" width="17.7109375" customWidth="1"/>
    <col min="12" max="12" width="22.57421875" customWidth="1"/>
    <col min="14" max="14" width="15.8515625" customWidth="1"/>
    <col min="15" max="15" width="19.8515625" customWidth="1"/>
  </cols>
  <sheetData>
    <row r="1" ht="15" customHeight="1">
      <c r="A1" s="225" t="s">
        <v>106</v>
      </c>
      <c r="B1" s="127" t="s">
        <v>106</v>
      </c>
      <c r="C1" s="127" t="s">
        <v>106</v>
      </c>
      <c r="D1" s="127" t="s">
        <v>106</v>
      </c>
      <c r="E1" s="127" t="s">
        <v>106</v>
      </c>
    </row>
    <row r="2" ht="15" customHeight="1">
      <c r="A2" s="127" t="s">
        <v>106</v>
      </c>
      <c r="B2" s="127" t="s">
        <v>106</v>
      </c>
      <c r="C2" s="127" t="s">
        <v>106</v>
      </c>
      <c r="D2" s="127" t="s">
        <v>106</v>
      </c>
      <c r="E2" s="127" t="s">
        <v>106</v>
      </c>
    </row>
    <row r="3" ht="7.5" customHeight="1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1"/>
    </row>
    <row r="4" ht="15" customHeight="1">
      <c r="A4" s="134"/>
      <c r="B4" s="133" t="s">
        <v>107</v>
      </c>
      <c r="C4" s="226"/>
      <c r="D4" s="226"/>
      <c r="E4" s="226"/>
      <c r="F4" s="226"/>
      <c r="G4" s="227" t="s">
        <v>108</v>
      </c>
      <c r="H4" s="134"/>
      <c r="I4" s="134"/>
      <c r="J4" s="133" t="s">
        <v>109</v>
      </c>
      <c r="K4" s="226"/>
      <c r="L4" s="226"/>
      <c r="M4" s="226"/>
      <c r="N4" s="226"/>
      <c r="O4" s="227" t="s">
        <v>110</v>
      </c>
      <c r="P4" s="131"/>
    </row>
    <row r="5" ht="15" customHeight="1">
      <c r="A5" s="134"/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1"/>
    </row>
    <row r="6" ht="15" customHeight="1">
      <c r="A6" s="134"/>
      <c r="B6" s="134"/>
      <c r="C6" s="228" t="s">
        <v>111</v>
      </c>
      <c r="D6" s="228" t="s">
        <v>112</v>
      </c>
      <c r="E6" s="229"/>
      <c r="F6" s="230" t="s">
        <v>113</v>
      </c>
      <c r="G6" s="231">
        <f>AVERAGE(D7:D11)</f>
        <v>30</v>
      </c>
      <c r="H6" s="134"/>
      <c r="I6" s="134"/>
      <c r="J6" s="134"/>
      <c r="K6" s="228" t="s">
        <v>111</v>
      </c>
      <c r="L6" s="228" t="s">
        <v>114</v>
      </c>
      <c r="M6" s="229"/>
      <c r="N6" s="230" t="s">
        <v>115</v>
      </c>
      <c r="O6" s="232">
        <f>SUM(L7:L11)</f>
        <v>1450</v>
      </c>
      <c r="P6" s="131"/>
    </row>
    <row r="7" ht="15" customHeight="1">
      <c r="A7" s="134"/>
      <c r="B7" s="134"/>
      <c r="C7" s="228" t="s">
        <v>116</v>
      </c>
      <c r="D7" s="233">
        <v>17</v>
      </c>
      <c r="E7" s="166"/>
      <c r="F7" s="230"/>
      <c r="G7" s="234"/>
      <c r="H7" s="134"/>
      <c r="I7" s="134"/>
      <c r="J7" s="134"/>
      <c r="K7" s="228" t="s">
        <v>117</v>
      </c>
      <c r="L7" s="235">
        <v>810</v>
      </c>
      <c r="M7" s="166"/>
      <c r="N7" s="230"/>
      <c r="O7" s="232"/>
      <c r="P7" s="131"/>
    </row>
    <row r="8" ht="15" customHeight="1">
      <c r="A8" s="134"/>
      <c r="B8" s="134"/>
      <c r="C8" s="228" t="s">
        <v>118</v>
      </c>
      <c r="D8" s="233">
        <v>23</v>
      </c>
      <c r="E8" s="166"/>
      <c r="F8" s="236" t="s">
        <v>119</v>
      </c>
      <c r="G8" s="237">
        <f>MAX(D7:D11)</f>
        <v>45</v>
      </c>
      <c r="H8" s="134"/>
      <c r="I8" s="134"/>
      <c r="J8" s="134"/>
      <c r="K8" s="228" t="s">
        <v>120</v>
      </c>
      <c r="L8" s="235">
        <v>380</v>
      </c>
      <c r="M8" s="166"/>
      <c r="N8" s="236" t="s">
        <v>121</v>
      </c>
      <c r="O8" s="238">
        <f>O6*0.08</f>
        <v>116</v>
      </c>
      <c r="P8" s="131"/>
    </row>
    <row r="9" ht="15" customHeight="1">
      <c r="A9" s="134"/>
      <c r="B9" s="134"/>
      <c r="C9" s="228" t="s">
        <v>122</v>
      </c>
      <c r="D9" s="233">
        <v>32</v>
      </c>
      <c r="E9" s="166"/>
      <c r="F9" s="239"/>
      <c r="G9" s="240"/>
      <c r="H9" s="134"/>
      <c r="I9" s="134"/>
      <c r="J9" s="134"/>
      <c r="K9" s="228" t="s">
        <v>123</v>
      </c>
      <c r="L9" s="235">
        <v>50</v>
      </c>
      <c r="M9" s="166"/>
      <c r="N9" s="236"/>
      <c r="O9" s="238"/>
      <c r="P9" s="131"/>
    </row>
    <row r="10" ht="15" customHeight="1">
      <c r="A10" s="134"/>
      <c r="B10" s="134"/>
      <c r="C10" s="228" t="s">
        <v>124</v>
      </c>
      <c r="D10" s="233">
        <v>33</v>
      </c>
      <c r="E10" s="166"/>
      <c r="F10" s="241" t="s">
        <v>125</v>
      </c>
      <c r="G10" s="242">
        <f>MIN(D7:D11)</f>
        <v>17</v>
      </c>
      <c r="H10" s="134"/>
      <c r="I10" s="134"/>
      <c r="J10" s="134"/>
      <c r="K10" s="228" t="s">
        <v>126</v>
      </c>
      <c r="L10" s="235">
        <v>50</v>
      </c>
      <c r="M10" s="166"/>
      <c r="N10" s="243" t="s">
        <v>127</v>
      </c>
      <c r="O10" s="244">
        <f>O6+O8</f>
        <v>1566</v>
      </c>
      <c r="P10" s="131"/>
    </row>
    <row r="11" ht="15" customHeight="1">
      <c r="A11" s="134"/>
      <c r="B11" s="134"/>
      <c r="C11" s="228" t="s">
        <v>128</v>
      </c>
      <c r="D11" s="233">
        <v>45</v>
      </c>
      <c r="E11" s="166"/>
      <c r="F11" s="245"/>
      <c r="G11" s="246"/>
      <c r="H11" s="134"/>
      <c r="I11" s="134"/>
      <c r="J11" s="134"/>
      <c r="K11" s="228" t="s">
        <v>129</v>
      </c>
      <c r="L11" s="235">
        <v>160</v>
      </c>
      <c r="M11" s="166"/>
      <c r="N11" s="247"/>
      <c r="O11" s="248"/>
      <c r="P11" s="131"/>
    </row>
    <row r="12" ht="15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1"/>
    </row>
    <row r="13" ht="15" customHeight="1">
      <c r="A13" s="134"/>
      <c r="B13" s="133" t="s">
        <v>130</v>
      </c>
      <c r="C13" s="226"/>
      <c r="D13" s="226"/>
      <c r="E13" s="226"/>
      <c r="F13" s="226"/>
      <c r="G13" s="227" t="s">
        <v>131</v>
      </c>
      <c r="H13" s="134"/>
      <c r="I13" s="134"/>
      <c r="J13" s="133" t="s">
        <v>132</v>
      </c>
      <c r="K13" s="226"/>
      <c r="L13" s="226"/>
      <c r="M13" s="226"/>
      <c r="N13" s="226"/>
      <c r="O13" s="227" t="s">
        <v>133</v>
      </c>
      <c r="P13" s="131"/>
    </row>
    <row r="14" ht="15" customHeight="1">
      <c r="A14" s="134"/>
      <c r="B14" s="147"/>
      <c r="C14" s="147"/>
      <c r="D14" s="147"/>
      <c r="E14" s="147"/>
      <c r="F14" s="147"/>
      <c r="G14" s="147"/>
      <c r="H14" s="134"/>
      <c r="I14" s="134"/>
      <c r="J14" s="134"/>
      <c r="K14" s="134"/>
      <c r="L14" s="134"/>
      <c r="M14" s="134"/>
      <c r="N14" s="134"/>
      <c r="O14" s="134"/>
      <c r="P14" s="131"/>
    </row>
    <row r="15" ht="15" customHeight="1">
      <c r="A15" s="134"/>
      <c r="B15" s="147"/>
      <c r="C15" s="228" t="s">
        <v>134</v>
      </c>
      <c r="D15" s="228" t="s">
        <v>135</v>
      </c>
      <c r="E15" s="229"/>
      <c r="F15" s="249" t="s">
        <v>136</v>
      </c>
      <c r="G15" s="250"/>
      <c r="H15" s="134"/>
      <c r="I15" s="134"/>
      <c r="J15" s="134"/>
      <c r="K15" s="228" t="s">
        <v>137</v>
      </c>
      <c r="L15" s="228" t="s">
        <v>138</v>
      </c>
      <c r="M15" s="139"/>
      <c r="N15" s="251" t="s">
        <v>139</v>
      </c>
      <c r="O15" s="252"/>
      <c r="P15" s="131"/>
    </row>
    <row r="16" ht="15" customHeight="1">
      <c r="A16" s="134"/>
      <c r="B16" s="147"/>
      <c r="C16" s="228">
        <v>30</v>
      </c>
      <c r="D16" s="176" t="s">
        <v>140</v>
      </c>
      <c r="E16" s="166"/>
      <c r="F16" s="253" t="s">
        <v>141</v>
      </c>
      <c r="G16" s="254">
        <f>INDIRECT(D16)</f>
        <v>50</v>
      </c>
      <c r="H16" s="134"/>
      <c r="I16" s="134"/>
      <c r="J16" s="134"/>
      <c r="K16" s="255">
        <v>30</v>
      </c>
      <c r="L16" s="176">
        <v>12</v>
      </c>
      <c r="M16" s="134"/>
      <c r="N16" s="256" t="s">
        <v>142</v>
      </c>
      <c r="O16" s="257"/>
      <c r="P16" s="131"/>
    </row>
    <row r="17" ht="15" customHeight="1">
      <c r="A17" s="134"/>
      <c r="B17" s="147"/>
      <c r="C17" s="228">
        <v>20</v>
      </c>
      <c r="D17" s="176" t="s">
        <v>143</v>
      </c>
      <c r="E17" s="166"/>
      <c r="F17" s="253" t="s">
        <v>144</v>
      </c>
      <c r="G17" s="254">
        <f>INDIRECT("D14")</f>
        <v>0</v>
      </c>
      <c r="H17" s="134"/>
      <c r="I17" s="134"/>
      <c r="J17" s="134"/>
      <c r="K17" s="255">
        <v>36</v>
      </c>
      <c r="L17" s="176">
        <v>43</v>
      </c>
      <c r="M17" s="134"/>
      <c r="N17" s="258" t="s">
        <v>145</v>
      </c>
      <c r="O17" s="259"/>
      <c r="P17" s="131"/>
    </row>
    <row r="18" ht="15" customHeight="1">
      <c r="A18" s="134"/>
      <c r="B18" s="147"/>
      <c r="C18" s="228">
        <v>50</v>
      </c>
      <c r="D18" s="176" t="s">
        <v>146</v>
      </c>
      <c r="E18" s="166"/>
      <c r="F18" s="260" t="s">
        <v>147</v>
      </c>
      <c r="G18" s="261">
        <f>SUM(INDIRECT(D20))</f>
        <v>100</v>
      </c>
      <c r="H18" s="134"/>
      <c r="I18" s="134"/>
      <c r="J18" s="134"/>
      <c r="K18" s="255">
        <v>50</v>
      </c>
      <c r="L18" s="176">
        <v>55</v>
      </c>
      <c r="M18" s="134"/>
      <c r="N18" s="262">
        <f>SUM(K16:K20*L16:L20)</f>
        <v>5858</v>
      </c>
      <c r="O18" s="263" t="s">
        <v>148</v>
      </c>
      <c r="P18" s="131"/>
    </row>
    <row r="19" ht="15" customHeight="1">
      <c r="A19" s="134"/>
      <c r="B19" s="147"/>
      <c r="C19" s="228">
        <v>70</v>
      </c>
      <c r="D19" s="176" t="s">
        <v>149</v>
      </c>
      <c r="E19" s="166"/>
      <c r="F19" s="264"/>
      <c r="G19" s="264"/>
      <c r="H19" s="134"/>
      <c r="I19" s="134"/>
      <c r="J19" s="134"/>
      <c r="K19" s="255">
        <v>20</v>
      </c>
      <c r="L19" s="176">
        <v>32</v>
      </c>
      <c r="M19" s="134"/>
      <c r="N19" s="147"/>
      <c r="O19" s="147"/>
      <c r="P19" s="131"/>
    </row>
    <row r="20" ht="15" customHeight="1">
      <c r="A20" s="134"/>
      <c r="B20" s="147"/>
      <c r="C20" s="228">
        <v>90</v>
      </c>
      <c r="D20" s="176" t="s">
        <v>150</v>
      </c>
      <c r="E20" s="166"/>
      <c r="F20" s="264"/>
      <c r="G20" s="264"/>
      <c r="H20" s="134"/>
      <c r="I20" s="134"/>
      <c r="J20" s="134"/>
      <c r="K20" s="255">
        <v>10</v>
      </c>
      <c r="L20" s="176">
        <v>56</v>
      </c>
      <c r="M20" s="134"/>
      <c r="N20" s="147"/>
      <c r="O20" s="147"/>
      <c r="P20" s="131"/>
    </row>
    <row r="21" ht="15" customHeight="1">
      <c r="A21" s="134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47"/>
      <c r="O21" s="147"/>
      <c r="P21" s="131"/>
    </row>
  </sheetData>
  <mergeCells>
    <mergeCell ref="F6:F7"/>
    <mergeCell ref="G6:G7"/>
    <mergeCell ref="N6:N7"/>
    <mergeCell ref="O6:O7"/>
    <mergeCell ref="F8:F9"/>
    <mergeCell ref="G8:G9"/>
    <mergeCell ref="N8:N9"/>
    <mergeCell ref="O8:O9"/>
    <mergeCell ref="F10:F11"/>
    <mergeCell ref="G10:G11"/>
    <mergeCell ref="N10:N11"/>
    <mergeCell ref="O10:O11"/>
    <mergeCell ref="F15:G15"/>
    <mergeCell ref="N15:O15"/>
    <mergeCell ref="N16:O16"/>
    <mergeCell ref="N17:O17"/>
    <mergeCell ref="A1:E2"/>
  </mergeCells>
  <hyperlinks>
    <hyperlink ref="A1:E2" r:id="rId1" display="View More Calculation Demos"/>
    <hyperlink ref="B1" r:id="rId2" display="View More Calculation Demos"/>
    <hyperlink ref="C1" r:id="rId3" display="View More Calculation Demos"/>
    <hyperlink ref="D1" r:id="rId4" display="View More Calculation Demos"/>
    <hyperlink ref="E1" r:id="rId5" display="View More Calculation Demos"/>
    <hyperlink ref="A2" r:id="rId6" display="View More Calculation Demos"/>
    <hyperlink ref="B2" r:id="rId7" display="View More Calculation Demos"/>
    <hyperlink ref="C2" r:id="rId8" display="View More Calculation Demos"/>
    <hyperlink ref="D2" r:id="rId9" display="View More Calculation Demos"/>
    <hyperlink ref="E2" r:id="rId10" display="View More Calculation Demos"/>
  </hyperlink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1E3C28A-ED1D-4823-ADF4-C8340DEF7A13}" mc:Ignorable="x14ac xr xr2 xr3">
  <dimension ref="A1:T25"/>
  <sheetViews>
    <sheetView showGridLines="0" topLeftCell="A1" workbookViewId="0">
      <selection activeCell="S9" sqref="S9:S24"/>
    </sheetView>
  </sheetViews>
  <sheetFormatPr defaultRowHeight="15" defaultColWidth="8.8515625" customHeight="1"/>
  <cols>
    <col min="1" max="2" style="280" width="2.140625" customWidth="1"/>
    <col min="3" max="3" width="13.57421875" customWidth="1"/>
    <col min="4" max="5" width="11.140625" customWidth="1"/>
    <col min="6" max="6" width="13.28125" customWidth="1"/>
    <col min="7" max="8" style="280" width="2.140625" customWidth="1"/>
    <col min="9" max="9" style="131" width="2.140625" customWidth="1"/>
    <col min="10" max="10" width="16.421875" customWidth="1"/>
    <col min="11" max="13" width="19.8515625" customWidth="1"/>
    <col min="14" max="15" style="280" width="2.140625" customWidth="1"/>
    <col min="16" max="16" width="11.57421875" customWidth="1"/>
    <col min="17" max="17" width="21.28125" customWidth="1"/>
    <col min="18" max="18" width="17.7109375" customWidth="1"/>
    <col min="19" max="19" width="12.140625" customWidth="1"/>
    <col min="20" max="20" style="131" width="8.8515625" customWidth="1"/>
  </cols>
  <sheetData>
    <row r="1" ht="15" customHeight="1">
      <c r="A1" s="265" t="s">
        <v>151</v>
      </c>
      <c r="B1" s="266" t="s">
        <v>151</v>
      </c>
      <c r="C1" s="127" t="s">
        <v>151</v>
      </c>
      <c r="D1" s="127" t="s">
        <v>151</v>
      </c>
      <c r="E1" s="127" t="s">
        <v>151</v>
      </c>
      <c r="F1" s="127" t="s">
        <v>151</v>
      </c>
    </row>
    <row r="2" ht="15" customHeight="1">
      <c r="A2" s="266" t="s">
        <v>151</v>
      </c>
      <c r="B2" s="266" t="s">
        <v>151</v>
      </c>
      <c r="C2" s="127" t="s">
        <v>151</v>
      </c>
      <c r="D2" s="127" t="s">
        <v>151</v>
      </c>
      <c r="E2" s="127" t="s">
        <v>151</v>
      </c>
      <c r="F2" s="127" t="s">
        <v>151</v>
      </c>
    </row>
    <row r="3" ht="9" customHeight="1" s="131" customFormat="1">
      <c r="A3" s="165"/>
      <c r="B3" s="165"/>
      <c r="C3" s="134"/>
      <c r="D3" s="134"/>
      <c r="E3" s="134"/>
      <c r="F3" s="134"/>
      <c r="G3" s="165"/>
      <c r="H3" s="165"/>
      <c r="I3" s="134"/>
      <c r="J3" s="134"/>
      <c r="K3" s="134"/>
      <c r="L3" s="134"/>
      <c r="M3" s="134"/>
      <c r="N3" s="165"/>
      <c r="O3" s="165"/>
      <c r="P3" s="134"/>
      <c r="Q3" s="134"/>
      <c r="R3" s="134"/>
      <c r="S3" s="134"/>
      <c r="T3" s="131"/>
    </row>
    <row r="4" ht="15" customHeight="1" s="131" customFormat="1">
      <c r="A4" s="267"/>
      <c r="B4" s="267" t="s">
        <v>152</v>
      </c>
      <c r="C4" s="226"/>
      <c r="D4" s="226"/>
      <c r="E4" s="226"/>
      <c r="F4" s="227" t="s">
        <v>153</v>
      </c>
      <c r="G4" s="267"/>
      <c r="H4" s="267"/>
      <c r="I4" s="133" t="s">
        <v>154</v>
      </c>
      <c r="J4" s="226"/>
      <c r="K4" s="226"/>
      <c r="L4" s="226"/>
      <c r="M4" s="226"/>
      <c r="N4" s="267"/>
      <c r="O4" s="267"/>
      <c r="P4" s="226"/>
      <c r="Q4" s="226"/>
      <c r="R4" s="226"/>
      <c r="S4" s="227" t="s">
        <v>155</v>
      </c>
      <c r="T4" s="131"/>
    </row>
    <row r="5" ht="15" customHeight="1" s="131" customFormat="1">
      <c r="A5" s="201"/>
      <c r="B5" s="201"/>
      <c r="C5" s="134"/>
      <c r="D5" s="134"/>
      <c r="E5" s="134"/>
      <c r="F5" s="134"/>
      <c r="G5" s="201"/>
      <c r="H5" s="201"/>
      <c r="I5" s="147"/>
      <c r="J5" s="147"/>
      <c r="K5" s="147"/>
      <c r="L5" s="147"/>
      <c r="M5" s="147"/>
      <c r="N5" s="201"/>
      <c r="O5" s="201"/>
      <c r="P5" s="134"/>
      <c r="Q5" s="134"/>
      <c r="R5" s="134"/>
      <c r="S5" s="134"/>
      <c r="T5" s="131"/>
    </row>
    <row r="6" ht="15" customHeight="1" s="131" customFormat="1">
      <c r="A6" s="201"/>
      <c r="B6" s="201"/>
      <c r="C6" s="268" t="s">
        <v>156</v>
      </c>
      <c r="D6" s="268"/>
      <c r="E6" s="268"/>
      <c r="F6" s="268"/>
      <c r="G6" s="201"/>
      <c r="H6" s="201"/>
      <c r="I6" s="147"/>
      <c r="J6" s="268" t="s">
        <v>157</v>
      </c>
      <c r="K6" s="268"/>
      <c r="L6" s="268"/>
      <c r="M6" s="268"/>
      <c r="N6" s="201"/>
      <c r="O6" s="201"/>
      <c r="P6" s="134"/>
      <c r="Q6" s="134"/>
      <c r="R6" s="134"/>
      <c r="S6" s="134"/>
      <c r="T6" s="131"/>
    </row>
    <row r="7" ht="15" customHeight="1" s="131" customFormat="1">
      <c r="A7" s="201"/>
      <c r="B7" s="201"/>
      <c r="C7" s="268"/>
      <c r="D7" s="268"/>
      <c r="E7" s="268"/>
      <c r="F7" s="268"/>
      <c r="G7" s="201"/>
      <c r="H7" s="201"/>
      <c r="I7" s="147"/>
      <c r="J7" s="268"/>
      <c r="K7" s="268"/>
      <c r="L7" s="268"/>
      <c r="M7" s="268"/>
      <c r="N7" s="201"/>
      <c r="O7" s="201"/>
      <c r="P7" s="134"/>
      <c r="Q7" s="134"/>
      <c r="R7" s="134"/>
      <c r="S7" s="134"/>
      <c r="T7" s="131"/>
    </row>
    <row r="8" ht="15" customHeight="1">
      <c r="A8" s="201"/>
      <c r="B8" s="201"/>
      <c r="C8" s="205" t="s">
        <v>158</v>
      </c>
      <c r="D8" s="205" t="s">
        <v>159</v>
      </c>
      <c r="E8" s="205" t="s">
        <v>160</v>
      </c>
      <c r="F8" s="205" t="s">
        <v>161</v>
      </c>
      <c r="G8" s="201"/>
      <c r="H8" s="201"/>
      <c r="I8" s="147"/>
      <c r="J8" s="205" t="s">
        <v>162</v>
      </c>
      <c r="K8" s="205" t="s">
        <v>163</v>
      </c>
      <c r="L8" s="205" t="s">
        <v>164</v>
      </c>
      <c r="M8" s="205" t="s">
        <v>165</v>
      </c>
      <c r="N8" s="201"/>
      <c r="O8" s="201"/>
      <c r="P8" s="205" t="s">
        <v>166</v>
      </c>
      <c r="Q8" s="205" t="s">
        <v>167</v>
      </c>
      <c r="R8" s="205" t="s">
        <v>168</v>
      </c>
      <c r="S8" s="205" t="s">
        <v>169</v>
      </c>
    </row>
    <row r="9" ht="15" customHeight="1">
      <c r="A9" s="201"/>
      <c r="B9" s="201"/>
      <c r="C9" s="205">
        <v>1</v>
      </c>
      <c r="D9" s="269">
        <v>23</v>
      </c>
      <c r="E9" s="269">
        <v>21</v>
      </c>
      <c r="F9" s="269">
        <v>65</v>
      </c>
      <c r="G9" s="201"/>
      <c r="H9" s="201"/>
      <c r="I9" s="147"/>
      <c r="J9" s="205" t="s">
        <v>116</v>
      </c>
      <c r="K9" s="270">
        <v>26192</v>
      </c>
      <c r="L9" s="270">
        <v>17930</v>
      </c>
      <c r="M9" s="270">
        <v>30641</v>
      </c>
      <c r="N9" s="201"/>
      <c r="O9" s="201"/>
      <c r="P9" s="205" t="s">
        <v>170</v>
      </c>
      <c r="Q9" s="271">
        <v>133807</v>
      </c>
      <c r="R9" s="271">
        <v>149451</v>
      </c>
      <c r="S9" s="272">
        <f t="shared" si="0" ref="S9:S24">(R9-Q9)</f>
        <v>15644</v>
      </c>
    </row>
    <row r="10" ht="15" customHeight="1">
      <c r="A10" s="201"/>
      <c r="B10" s="201"/>
      <c r="C10" s="205">
        <v>2</v>
      </c>
      <c r="D10" s="273">
        <v>33</v>
      </c>
      <c r="E10" s="269">
        <v>65</v>
      </c>
      <c r="F10" s="269">
        <v>23</v>
      </c>
      <c r="G10" s="201"/>
      <c r="H10" s="201"/>
      <c r="I10" s="147"/>
      <c r="J10" s="205" t="s">
        <v>118</v>
      </c>
      <c r="K10" s="270">
        <v>24098</v>
      </c>
      <c r="L10" s="270">
        <v>28461</v>
      </c>
      <c r="M10" s="270">
        <v>12717</v>
      </c>
      <c r="N10" s="201"/>
      <c r="O10" s="201"/>
      <c r="P10" s="205" t="s">
        <v>171</v>
      </c>
      <c r="Q10" s="271">
        <v>249900</v>
      </c>
      <c r="R10" s="271">
        <v>133160</v>
      </c>
      <c r="S10" s="272">
        <f t="shared" si="0"/>
        <v>-116740</v>
      </c>
    </row>
    <row r="11" ht="15" customHeight="1">
      <c r="A11" s="201"/>
      <c r="B11" s="201"/>
      <c r="C11" s="205">
        <v>3</v>
      </c>
      <c r="D11" s="273">
        <v>54</v>
      </c>
      <c r="E11" s="273">
        <v>32</v>
      </c>
      <c r="F11" s="273">
        <v>56</v>
      </c>
      <c r="G11" s="201"/>
      <c r="H11" s="201"/>
      <c r="I11" s="147"/>
      <c r="J11" s="205" t="s">
        <v>122</v>
      </c>
      <c r="K11" s="270">
        <v>7577</v>
      </c>
      <c r="L11" s="270">
        <v>15467</v>
      </c>
      <c r="M11" s="270">
        <v>30335</v>
      </c>
      <c r="N11" s="201"/>
      <c r="O11" s="201"/>
      <c r="P11" s="205" t="s">
        <v>172</v>
      </c>
      <c r="Q11" s="271">
        <v>183871</v>
      </c>
      <c r="R11" s="271">
        <v>188837</v>
      </c>
      <c r="S11" s="272">
        <f t="shared" si="0"/>
        <v>4966</v>
      </c>
    </row>
    <row r="12" ht="15" customHeight="1">
      <c r="A12" s="201"/>
      <c r="B12" s="201"/>
      <c r="C12" s="205">
        <v>4</v>
      </c>
      <c r="D12" s="269">
        <v>12</v>
      </c>
      <c r="E12" s="269">
        <v>76</v>
      </c>
      <c r="F12" s="273">
        <v>36</v>
      </c>
      <c r="G12" s="201"/>
      <c r="H12" s="201"/>
      <c r="I12" s="147"/>
      <c r="J12" s="205" t="s">
        <v>124</v>
      </c>
      <c r="K12" s="270">
        <v>32287</v>
      </c>
      <c r="L12" s="270">
        <v>7209</v>
      </c>
      <c r="M12" s="270">
        <v>26178</v>
      </c>
      <c r="N12" s="201"/>
      <c r="O12" s="201"/>
      <c r="P12" s="205" t="s">
        <v>173</v>
      </c>
      <c r="Q12" s="271">
        <v>91823</v>
      </c>
      <c r="R12" s="271">
        <v>308788</v>
      </c>
      <c r="S12" s="272">
        <f t="shared" si="0"/>
        <v>216965</v>
      </c>
    </row>
    <row r="13" ht="15" customHeight="1">
      <c r="A13" s="201"/>
      <c r="B13" s="201"/>
      <c r="C13" s="205">
        <v>5</v>
      </c>
      <c r="D13" s="269">
        <v>65</v>
      </c>
      <c r="E13" s="269">
        <v>23</v>
      </c>
      <c r="F13" s="269">
        <v>82</v>
      </c>
      <c r="G13" s="201"/>
      <c r="H13" s="201"/>
      <c r="I13" s="147"/>
      <c r="J13" s="205" t="s">
        <v>128</v>
      </c>
      <c r="K13" s="270">
        <v>14273</v>
      </c>
      <c r="L13" s="270">
        <v>6712</v>
      </c>
      <c r="M13" s="270">
        <v>12787</v>
      </c>
      <c r="N13" s="201"/>
      <c r="O13" s="201"/>
      <c r="P13" s="205" t="s">
        <v>174</v>
      </c>
      <c r="Q13" s="271">
        <v>268280</v>
      </c>
      <c r="R13" s="271">
        <v>310441</v>
      </c>
      <c r="S13" s="272">
        <f t="shared" si="0"/>
        <v>42161</v>
      </c>
    </row>
    <row r="14" ht="15" customHeight="1">
      <c r="A14" s="165"/>
      <c r="B14" s="165"/>
      <c r="C14" s="134"/>
      <c r="D14" s="134"/>
      <c r="E14" s="134"/>
      <c r="F14" s="134"/>
      <c r="G14" s="165"/>
      <c r="H14" s="165"/>
      <c r="I14" s="134"/>
      <c r="J14" s="134"/>
      <c r="K14" s="134"/>
      <c r="L14" s="134"/>
      <c r="M14" s="134"/>
      <c r="N14" s="165"/>
      <c r="O14" s="165"/>
      <c r="P14" s="205" t="s">
        <v>175</v>
      </c>
      <c r="Q14" s="271">
        <v>146287</v>
      </c>
      <c r="R14" s="271">
        <v>290383</v>
      </c>
      <c r="S14" s="272">
        <f t="shared" si="0"/>
        <v>144096</v>
      </c>
    </row>
    <row r="15" ht="15" customHeight="1">
      <c r="A15" s="274"/>
      <c r="B15" s="274" t="s">
        <v>176</v>
      </c>
      <c r="C15" s="226"/>
      <c r="D15" s="226"/>
      <c r="E15" s="226"/>
      <c r="F15" s="227" t="s">
        <v>177</v>
      </c>
      <c r="G15" s="274"/>
      <c r="H15" s="274"/>
      <c r="I15" s="275" t="s">
        <v>178</v>
      </c>
      <c r="J15" s="226"/>
      <c r="K15" s="226"/>
      <c r="L15" s="226"/>
      <c r="M15" s="227" t="s">
        <v>179</v>
      </c>
      <c r="N15" s="274"/>
      <c r="O15" s="274"/>
      <c r="P15" s="205" t="s">
        <v>117</v>
      </c>
      <c r="Q15" s="271">
        <v>194450</v>
      </c>
      <c r="R15" s="271">
        <v>176046</v>
      </c>
      <c r="S15" s="272">
        <f t="shared" si="0"/>
        <v>-18404</v>
      </c>
    </row>
    <row r="16" ht="15" customHeight="1">
      <c r="A16" s="201"/>
      <c r="B16" s="201"/>
      <c r="C16" s="147"/>
      <c r="D16" s="147"/>
      <c r="E16" s="147"/>
      <c r="F16" s="147"/>
      <c r="G16" s="201"/>
      <c r="H16" s="201"/>
      <c r="I16" s="147"/>
      <c r="J16" s="147"/>
      <c r="K16" s="147"/>
      <c r="L16" s="147"/>
      <c r="M16" s="147"/>
      <c r="N16" s="201"/>
      <c r="O16" s="201"/>
      <c r="P16" s="205" t="s">
        <v>180</v>
      </c>
      <c r="Q16" s="271">
        <v>166542</v>
      </c>
      <c r="R16" s="271">
        <v>278497</v>
      </c>
      <c r="S16" s="272">
        <f t="shared" si="0"/>
        <v>111955</v>
      </c>
    </row>
    <row r="17" ht="15" customHeight="1">
      <c r="A17" s="201"/>
      <c r="B17" s="201"/>
      <c r="C17" s="268" t="s">
        <v>181</v>
      </c>
      <c r="D17" s="268"/>
      <c r="E17" s="268"/>
      <c r="F17" s="268"/>
      <c r="G17" s="201"/>
      <c r="H17" s="201"/>
      <c r="I17" s="147"/>
      <c r="J17" s="268" t="s">
        <v>182</v>
      </c>
      <c r="K17" s="268"/>
      <c r="L17" s="268"/>
      <c r="M17" s="268"/>
      <c r="N17" s="201"/>
      <c r="O17" s="201"/>
      <c r="P17" s="205" t="s">
        <v>129</v>
      </c>
      <c r="Q17" s="271">
        <v>77980</v>
      </c>
      <c r="R17" s="271">
        <v>108035</v>
      </c>
      <c r="S17" s="272">
        <f t="shared" si="0"/>
        <v>30055</v>
      </c>
    </row>
    <row r="18" ht="15" customHeight="1">
      <c r="A18" s="201"/>
      <c r="B18" s="201"/>
      <c r="C18" s="268"/>
      <c r="D18" s="268"/>
      <c r="E18" s="268"/>
      <c r="F18" s="268"/>
      <c r="G18" s="201"/>
      <c r="H18" s="201"/>
      <c r="I18" s="147"/>
      <c r="J18" s="268"/>
      <c r="K18" s="268"/>
      <c r="L18" s="268"/>
      <c r="M18" s="268"/>
      <c r="N18" s="201"/>
      <c r="O18" s="201"/>
      <c r="P18" s="205" t="s">
        <v>126</v>
      </c>
      <c r="Q18" s="271">
        <v>269685</v>
      </c>
      <c r="R18" s="271">
        <v>123612</v>
      </c>
      <c r="S18" s="272">
        <f t="shared" si="0"/>
        <v>-146073</v>
      </c>
    </row>
    <row r="19" ht="15" customHeight="1">
      <c r="A19" s="201"/>
      <c r="B19" s="201"/>
      <c r="C19" s="205" t="s">
        <v>183</v>
      </c>
      <c r="D19" s="205" t="s">
        <v>184</v>
      </c>
      <c r="E19" s="205" t="s">
        <v>185</v>
      </c>
      <c r="F19" s="205" t="s">
        <v>186</v>
      </c>
      <c r="G19" s="201"/>
      <c r="H19" s="201"/>
      <c r="I19" s="147"/>
      <c r="J19" s="205" t="s">
        <v>187</v>
      </c>
      <c r="K19" s="276" t="s">
        <v>188</v>
      </c>
      <c r="L19" s="276" t="s">
        <v>189</v>
      </c>
      <c r="M19" s="276" t="s">
        <v>190</v>
      </c>
      <c r="N19" s="201"/>
      <c r="O19" s="201"/>
      <c r="P19" s="205" t="s">
        <v>191</v>
      </c>
      <c r="Q19" s="271">
        <v>115333</v>
      </c>
      <c r="R19" s="271">
        <v>236393</v>
      </c>
      <c r="S19" s="272">
        <f t="shared" si="0"/>
        <v>121060</v>
      </c>
    </row>
    <row r="20" ht="15" customHeight="1">
      <c r="A20" s="201"/>
      <c r="B20" s="201"/>
      <c r="C20" s="277">
        <v>45383</v>
      </c>
      <c r="D20" s="269" t="s">
        <v>192</v>
      </c>
      <c r="E20" s="269" t="s">
        <v>193</v>
      </c>
      <c r="F20" s="278" t="s">
        <v>194</v>
      </c>
      <c r="G20" s="201"/>
      <c r="H20" s="201"/>
      <c r="I20" s="147"/>
      <c r="J20" s="205" t="s">
        <v>195</v>
      </c>
      <c r="K20" s="279">
        <v>30</v>
      </c>
      <c r="L20" s="279">
        <v>34</v>
      </c>
      <c r="M20" s="279">
        <v>29</v>
      </c>
      <c r="N20" s="201"/>
      <c r="O20" s="201"/>
      <c r="P20" s="205" t="s">
        <v>196</v>
      </c>
      <c r="Q20" s="271">
        <v>282844</v>
      </c>
      <c r="R20" s="271">
        <v>190382</v>
      </c>
      <c r="S20" s="272">
        <f t="shared" si="0"/>
        <v>-92462</v>
      </c>
    </row>
    <row r="21" ht="15" customHeight="1">
      <c r="A21" s="201"/>
      <c r="B21" s="201"/>
      <c r="C21" s="277">
        <v>45384</v>
      </c>
      <c r="D21" s="269" t="s">
        <v>193</v>
      </c>
      <c r="E21" s="269" t="s">
        <v>193</v>
      </c>
      <c r="F21" s="269" t="s">
        <v>193</v>
      </c>
      <c r="G21" s="201"/>
      <c r="H21" s="201"/>
      <c r="I21" s="147"/>
      <c r="J21" s="205" t="s">
        <v>197</v>
      </c>
      <c r="K21" s="279">
        <v>73</v>
      </c>
      <c r="L21" s="279">
        <v>56</v>
      </c>
      <c r="M21" s="279">
        <v>69</v>
      </c>
      <c r="N21" s="201"/>
      <c r="O21" s="201"/>
      <c r="P21" s="205" t="s">
        <v>198</v>
      </c>
      <c r="Q21" s="271">
        <v>286712</v>
      </c>
      <c r="R21" s="271">
        <v>70945</v>
      </c>
      <c r="S21" s="272">
        <f t="shared" si="0"/>
        <v>-215767</v>
      </c>
    </row>
    <row r="22" ht="15" customHeight="1">
      <c r="A22" s="201"/>
      <c r="B22" s="201"/>
      <c r="C22" s="277">
        <v>45385</v>
      </c>
      <c r="D22" s="269" t="s">
        <v>192</v>
      </c>
      <c r="E22" s="278" t="s">
        <v>194</v>
      </c>
      <c r="F22" s="269" t="s">
        <v>192</v>
      </c>
      <c r="G22" s="201"/>
      <c r="H22" s="201"/>
      <c r="I22" s="147"/>
      <c r="J22" s="205" t="s">
        <v>199</v>
      </c>
      <c r="K22" s="279">
        <v>85</v>
      </c>
      <c r="L22" s="279">
        <v>55</v>
      </c>
      <c r="M22" s="279">
        <v>27</v>
      </c>
      <c r="N22" s="201"/>
      <c r="O22" s="201"/>
      <c r="P22" s="205" t="s">
        <v>200</v>
      </c>
      <c r="Q22" s="271">
        <v>79784</v>
      </c>
      <c r="R22" s="271">
        <v>138678</v>
      </c>
      <c r="S22" s="272">
        <f t="shared" si="0"/>
        <v>58894</v>
      </c>
    </row>
    <row r="23" ht="15" customHeight="1">
      <c r="A23" s="201"/>
      <c r="B23" s="201"/>
      <c r="C23" s="277">
        <v>45386</v>
      </c>
      <c r="D23" s="278" t="s">
        <v>194</v>
      </c>
      <c r="E23" s="269" t="s">
        <v>192</v>
      </c>
      <c r="F23" s="269" t="s">
        <v>192</v>
      </c>
      <c r="G23" s="201"/>
      <c r="H23" s="201"/>
      <c r="I23" s="147"/>
      <c r="J23" s="205" t="s">
        <v>201</v>
      </c>
      <c r="K23" s="279">
        <v>74</v>
      </c>
      <c r="L23" s="279">
        <v>89</v>
      </c>
      <c r="M23" s="279">
        <v>82</v>
      </c>
      <c r="N23" s="201"/>
      <c r="O23" s="201"/>
      <c r="P23" s="205" t="s">
        <v>202</v>
      </c>
      <c r="Q23" s="271">
        <v>108531</v>
      </c>
      <c r="R23" s="271">
        <v>109953</v>
      </c>
      <c r="S23" s="272">
        <f t="shared" si="0"/>
        <v>1422</v>
      </c>
    </row>
    <row r="24" ht="15" customHeight="1">
      <c r="A24" s="201"/>
      <c r="B24" s="201"/>
      <c r="C24" s="277">
        <v>45387</v>
      </c>
      <c r="D24" s="269" t="s">
        <v>193</v>
      </c>
      <c r="E24" s="269" t="s">
        <v>192</v>
      </c>
      <c r="F24" s="278" t="s">
        <v>194</v>
      </c>
      <c r="G24" s="201"/>
      <c r="H24" s="201"/>
      <c r="I24" s="147"/>
      <c r="J24" s="205" t="s">
        <v>203</v>
      </c>
      <c r="K24" s="279">
        <v>97</v>
      </c>
      <c r="L24" s="279">
        <v>17</v>
      </c>
      <c r="M24" s="279">
        <v>41</v>
      </c>
      <c r="N24" s="201"/>
      <c r="O24" s="201"/>
      <c r="P24" s="205" t="s">
        <v>204</v>
      </c>
      <c r="Q24" s="271">
        <v>297913</v>
      </c>
      <c r="R24" s="271">
        <v>227819</v>
      </c>
      <c r="S24" s="272">
        <f t="shared" si="0"/>
        <v>-70094</v>
      </c>
    </row>
    <row r="25" ht="15" customHeight="1" s="131" customFormat="1">
      <c r="A25" s="165"/>
      <c r="B25" s="165"/>
      <c r="C25" s="134"/>
      <c r="D25" s="134"/>
      <c r="E25" s="134"/>
      <c r="F25" s="134"/>
      <c r="G25" s="165"/>
      <c r="H25" s="165"/>
      <c r="I25" s="134"/>
      <c r="J25" s="134"/>
      <c r="K25" s="134"/>
      <c r="L25" s="134"/>
      <c r="M25" s="134"/>
      <c r="N25" s="165"/>
      <c r="O25" s="165"/>
      <c r="P25" s="134"/>
      <c r="Q25" s="134"/>
      <c r="R25" s="134"/>
      <c r="S25" s="134"/>
      <c r="T25" s="131"/>
    </row>
  </sheetData>
  <mergeCells>
    <mergeCell ref="C6:F7"/>
    <mergeCell ref="J6:M7"/>
    <mergeCell ref="C17:F18"/>
    <mergeCell ref="J17:M18"/>
    <mergeCell ref="A1:F2"/>
  </mergeCells>
  <conditionalFormatting sqref="K9:M13">
    <cfRule type="dataBar" priority="3">
      <dataBar>
        <cfvo type="min"/>
        <cfvo type="max"/>
        <color rgb="FFBED7EE"/>
      </dataBar>
      <extLst>
        <ext xmlns:x14="http://schemas.microsoft.com/office/spreadsheetml/2009/9/main" uri="{B025F937-C7B1-47D3-B67F-A62EFF666E3E}">
          <x14:id>{94328012-6089-4264-8816-851b98ba4d7f}</x14:id>
        </ext>
      </extLst>
    </cfRule>
  </conditionalFormatting>
  <conditionalFormatting sqref="D9:F13 S12">
    <cfRule type="cellIs" dxfId="0" priority="2" operator="between" text="null">
      <formula>30</formula>
      <formula>60</formula>
    </cfRule>
  </conditionalFormatting>
  <conditionalFormatting sqref="S9:S24">
    <cfRule type="dataBar" priority="1">
      <dataBar>
        <cfvo type="min"/>
        <cfvo type="max"/>
        <color rgb="FFBED7EE"/>
      </dataBar>
      <extLst>
        <ext xmlns:x14="http://schemas.microsoft.com/office/spreadsheetml/2009/9/main" uri="{B025F937-C7B1-47D3-B67F-A62EFF666E3E}">
          <x14:id>{01dc7628-9c59-4dc7-8af8-956af0f27ea2}</x14:id>
        </ext>
      </extLst>
    </cfRule>
  </conditionalFormatting>
  <hyperlinks>
    <hyperlink ref="A1:F2" r:id="rId1" display="View More Conditional Formatting Demos"/>
    <hyperlink ref="B1" r:id="rId2" display="View More Conditional Formatting Demos"/>
    <hyperlink ref="C1" r:id="rId3" display="View More Conditional Formatting Demos"/>
    <hyperlink ref="D1" r:id="rId4" display="View More Conditional Formatting Demos"/>
    <hyperlink ref="E1" r:id="rId5" display="View More Conditional Formatting Demos"/>
    <hyperlink ref="F1" r:id="rId6" display="View More Conditional Formatting Demos"/>
    <hyperlink ref="A2" r:id="rId7" display="View More Conditional Formatting Demos"/>
    <hyperlink ref="B2" r:id="rId8" display="View More Conditional Formatting Demos"/>
    <hyperlink ref="C2" r:id="rId9" display="View More Conditional Formatting Demos"/>
    <hyperlink ref="D2" r:id="rId10" display="View More Conditional Formatting Demos"/>
    <hyperlink ref="E2" r:id="rId11" display="View More Conditional Formatting Demos"/>
    <hyperlink ref="F2" r:id="rId12" display="View More Conditional Formatting Demos"/>
  </hyperlink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328012-6089-4264-8816-851b98ba4d7f}">
            <x14:dataBar minLength="0" maxLength="100" gradient="0" negativeBarColorSameAsPositive="1" direction="leftToRight">
              <x14:color rgb="FFBED7EE"/>
              <x14:cfvo type="autoMin"/>
              <x14:cfvo type="autoMax"/>
              <x14:negativeFillColor rgb="FFFF0000"/>
              <x14:negativeBorderColor rgb="FF000000"/>
              <x14:axisColor rgb="FF000000"/>
            </x14:dataBar>
          </x14:cfRule>
          <xm:sqref>K9:M13</xm:sqref>
        </x14:conditionalFormatting>
        <x14:conditionalFormatting xmlns:xm="http://schemas.microsoft.com/office/excel/2006/main">
          <x14:cfRule type="dataBar" id="{01dc7628-9c59-4dc7-8af8-956af0f27ea2}">
            <x14:dataBar minLength="0" maxLength="100" gradient="0" negativeBarColorSameAsPositive="1" direction="leftToRight">
              <x14:color rgb="FFBED7EE"/>
              <x14:cfvo type="autoMin"/>
              <x14:cfvo type="autoMax"/>
              <x14:negativeFillColor rgb="FFFF0000"/>
              <x14:negativeBorderColor rgb="FF000000"/>
              <x14:axisColor rgb="FF000000"/>
            </x14:dataBar>
          </x14:cfRule>
          <xm:sqref>S9:S24</xm:sqref>
        </x14:conditionalFormatting>
        <x14:conditionalFormatting xmlns:xm="http://schemas.microsoft.com/office/excel/2006/main">
          <x14:cfRule type="iconSet" id="{b0df00e3-b76e-4db3-b785-d6081bb96519}" priority="4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  <x14:cfIcon iconSet="3Triangles" iconId="0"/>
              <x14:cfIcon iconSet="3Triangles" iconId="1"/>
              <x14:cfIcon iconSet="3Triangles" iconId="2"/>
            </x14:iconSet>
          </x14:cfRule>
          <xm:sqref>K20:M24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4F8FE2D-39F4-49A4-AA3B-74CF88701266}" mc:Ignorable="x14ac xr xr2 xr3">
  <dimension ref="A1:R23"/>
  <sheetViews>
    <sheetView showGridLines="0" topLeftCell="A1" workbookViewId="0">
      <selection activeCell="H11" sqref="H11"/>
    </sheetView>
  </sheetViews>
  <sheetFormatPr defaultRowHeight="15" defaultColWidth="8.8515625" customHeight="1"/>
  <cols>
    <col min="1" max="1" width="3.00390625" customWidth="1"/>
    <col min="4" max="4" width="23.140625" customWidth="1"/>
    <col min="9" max="9" width="11.00390625" customWidth="1"/>
    <col min="10" max="10" width="5.8515625" customWidth="1"/>
    <col min="17" max="18" width="4.421875" customWidth="1"/>
  </cols>
  <sheetData>
    <row r="1" ht="15" customHeight="1">
      <c r="A1" s="225" t="s">
        <v>205</v>
      </c>
      <c r="B1" s="127" t="s">
        <v>205</v>
      </c>
      <c r="C1" s="127" t="s">
        <v>205</v>
      </c>
      <c r="D1" s="127" t="s">
        <v>205</v>
      </c>
      <c r="E1" s="127" t="s">
        <v>205</v>
      </c>
    </row>
    <row r="2" ht="15" customHeight="1">
      <c r="A2" s="127" t="s">
        <v>205</v>
      </c>
      <c r="B2" s="127" t="s">
        <v>205</v>
      </c>
      <c r="C2" s="127" t="s">
        <v>205</v>
      </c>
      <c r="D2" s="127" t="s">
        <v>205</v>
      </c>
      <c r="E2" s="127" t="s">
        <v>205</v>
      </c>
    </row>
    <row r="3" ht="15" customHeight="1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</row>
    <row r="4" ht="15" customHeight="1">
      <c r="A4" s="134"/>
      <c r="B4" s="133" t="s">
        <v>206</v>
      </c>
      <c r="C4" s="281"/>
      <c r="D4" s="281"/>
      <c r="E4" s="281"/>
      <c r="F4" s="281"/>
      <c r="G4" s="281"/>
      <c r="H4" s="281"/>
      <c r="I4" s="281"/>
      <c r="J4" s="281"/>
      <c r="K4" s="281"/>
      <c r="L4" s="281"/>
      <c r="M4" s="282"/>
      <c r="N4" s="281"/>
      <c r="O4" s="281"/>
      <c r="P4" s="281"/>
      <c r="Q4" s="281"/>
      <c r="R4" s="134"/>
    </row>
    <row r="5" ht="15" customHeight="1">
      <c r="A5" s="134"/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</row>
    <row r="6" ht="15" customHeight="1">
      <c r="A6" s="134"/>
      <c r="B6" s="134"/>
      <c r="C6" s="283"/>
      <c r="D6" s="284"/>
      <c r="E6" s="284"/>
      <c r="F6" s="284"/>
      <c r="G6" s="284"/>
      <c r="H6" s="284"/>
      <c r="I6" s="284"/>
      <c r="J6" s="285"/>
      <c r="K6" s="134"/>
      <c r="L6" s="134"/>
      <c r="M6" s="134"/>
      <c r="N6" s="134"/>
      <c r="O6" s="134"/>
      <c r="P6" s="134"/>
      <c r="Q6" s="134"/>
      <c r="R6" s="134"/>
    </row>
    <row r="7" ht="15" customHeight="1">
      <c r="A7" s="134"/>
      <c r="B7" s="134"/>
      <c r="C7" s="286"/>
      <c r="D7" s="287" t="s">
        <v>207</v>
      </c>
      <c r="E7" s="287"/>
      <c r="F7" s="287"/>
      <c r="G7" s="287"/>
      <c r="H7" s="287"/>
      <c r="I7" s="287"/>
      <c r="J7" s="288"/>
      <c r="K7" s="134"/>
      <c r="L7" s="134"/>
      <c r="M7" s="134"/>
      <c r="N7" s="134"/>
      <c r="O7" s="134"/>
      <c r="P7" s="134"/>
      <c r="Q7" s="134"/>
      <c r="R7" s="134"/>
    </row>
    <row r="8" ht="8.25" customHeight="1">
      <c r="A8" s="134"/>
      <c r="B8" s="134"/>
      <c r="C8" s="286"/>
      <c r="D8" s="289"/>
      <c r="E8" s="289"/>
      <c r="F8" s="289"/>
      <c r="G8" s="289"/>
      <c r="H8" s="289"/>
      <c r="I8" s="289"/>
      <c r="J8" s="288"/>
      <c r="K8" s="134"/>
      <c r="L8" s="134"/>
      <c r="M8" s="134"/>
      <c r="N8" s="134"/>
      <c r="O8" s="134"/>
      <c r="P8" s="134"/>
      <c r="Q8" s="134"/>
      <c r="R8" s="134"/>
    </row>
    <row r="9" ht="15" customHeight="1">
      <c r="A9" s="134"/>
      <c r="B9" s="134"/>
      <c r="C9" s="286"/>
      <c r="D9" s="290" t="s">
        <v>208</v>
      </c>
      <c r="E9" s="289"/>
      <c r="F9" s="289"/>
      <c r="G9" s="289"/>
      <c r="H9" s="291"/>
      <c r="I9" s="291"/>
      <c r="J9" s="288"/>
      <c r="K9" s="134"/>
      <c r="L9" s="134"/>
      <c r="M9" s="134"/>
      <c r="N9" s="134"/>
      <c r="O9" s="134"/>
      <c r="P9" s="134"/>
      <c r="Q9" s="134"/>
      <c r="R9" s="134"/>
    </row>
    <row r="10" ht="15" customHeight="1">
      <c r="A10" s="134"/>
      <c r="B10" s="134"/>
      <c r="C10" s="286"/>
      <c r="D10" s="289"/>
      <c r="E10" s="289"/>
      <c r="F10" s="289"/>
      <c r="G10" s="289"/>
      <c r="H10" s="291"/>
      <c r="I10" s="291"/>
      <c r="J10" s="288"/>
      <c r="K10" s="134"/>
      <c r="L10" s="134"/>
      <c r="M10" s="134"/>
      <c r="N10" s="134"/>
      <c r="O10" s="134"/>
      <c r="P10" s="134"/>
      <c r="Q10" s="134"/>
      <c r="R10" s="134"/>
    </row>
    <row r="11" ht="15" customHeight="1">
      <c r="A11" s="134"/>
      <c r="B11" s="134"/>
      <c r="C11" s="286"/>
      <c r="D11" s="292" t="s">
        <v>209</v>
      </c>
      <c r="E11" s="293">
        <f>SUM(I16:I20)</f>
        <v>2570</v>
      </c>
      <c r="F11" s="293"/>
      <c r="G11" s="289"/>
      <c r="H11" s="294" t="s">
        <v>210</v>
      </c>
      <c r="I11" s="295"/>
      <c r="J11" s="288"/>
      <c r="K11" s="134"/>
      <c r="L11" s="134"/>
      <c r="M11" s="134"/>
      <c r="N11" s="134"/>
      <c r="O11" s="134"/>
      <c r="P11" s="134"/>
      <c r="Q11" s="134"/>
      <c r="R11" s="134"/>
    </row>
    <row r="12" ht="15" customHeight="1">
      <c r="A12" s="134"/>
      <c r="B12" s="134"/>
      <c r="C12" s="286"/>
      <c r="D12" s="289"/>
      <c r="E12" s="289"/>
      <c r="F12" s="289"/>
      <c r="G12" s="289"/>
      <c r="H12" s="294" t="s">
        <v>211</v>
      </c>
      <c r="I12" s="295"/>
      <c r="J12" s="288"/>
      <c r="K12" s="134"/>
      <c r="L12" s="134"/>
      <c r="M12" s="134"/>
      <c r="N12" s="134"/>
      <c r="O12" s="134"/>
      <c r="P12" s="134"/>
      <c r="Q12" s="134"/>
      <c r="R12" s="134"/>
    </row>
    <row r="13" ht="15" customHeight="1">
      <c r="A13" s="134"/>
      <c r="B13" s="134"/>
      <c r="C13" s="286"/>
      <c r="D13" s="289"/>
      <c r="E13" s="289"/>
      <c r="F13" s="289"/>
      <c r="G13" s="289"/>
      <c r="H13" s="294" t="s">
        <v>212</v>
      </c>
      <c r="I13" s="295"/>
      <c r="J13" s="288"/>
      <c r="K13" s="134"/>
      <c r="L13" s="134"/>
      <c r="M13" s="134"/>
      <c r="N13" s="134"/>
      <c r="O13" s="134"/>
      <c r="P13" s="134"/>
      <c r="Q13" s="134"/>
      <c r="R13" s="134"/>
    </row>
    <row r="14" ht="15" customHeight="1">
      <c r="A14" s="134"/>
      <c r="B14" s="134"/>
      <c r="C14" s="286"/>
      <c r="D14" s="289"/>
      <c r="E14" s="289"/>
      <c r="F14" s="289"/>
      <c r="G14" s="289"/>
      <c r="H14" s="289"/>
      <c r="I14" s="289"/>
      <c r="J14" s="288"/>
      <c r="K14" s="134"/>
      <c r="L14" s="134"/>
      <c r="M14" s="134"/>
      <c r="N14" s="134"/>
      <c r="O14" s="134"/>
      <c r="P14" s="134"/>
      <c r="Q14" s="134"/>
      <c r="R14" s="134"/>
    </row>
    <row r="15" ht="15" customHeight="1">
      <c r="A15" s="134"/>
      <c r="B15" s="134"/>
      <c r="C15" s="286"/>
      <c r="D15" s="205" t="s">
        <v>111</v>
      </c>
      <c r="E15" s="205"/>
      <c r="F15" s="205" t="s">
        <v>213</v>
      </c>
      <c r="G15" s="205" t="s">
        <v>214</v>
      </c>
      <c r="H15" s="276" t="s">
        <v>215</v>
      </c>
      <c r="I15" s="205" t="s">
        <v>216</v>
      </c>
      <c r="J15" s="288"/>
      <c r="K15" s="134"/>
      <c r="L15" s="134"/>
      <c r="M15" s="134"/>
      <c r="N15" s="134"/>
      <c r="O15" s="134"/>
      <c r="P15" s="134"/>
      <c r="Q15" s="134"/>
      <c r="R15" s="134"/>
    </row>
    <row r="16" ht="15" customHeight="1">
      <c r="A16" s="134"/>
      <c r="B16" s="134"/>
      <c r="C16" s="286"/>
      <c r="D16" s="205" t="s">
        <v>217</v>
      </c>
      <c r="E16" s="205"/>
      <c r="F16" s="296">
        <v>1</v>
      </c>
      <c r="G16" s="296">
        <v>1</v>
      </c>
      <c r="H16" s="297">
        <v>760</v>
      </c>
      <c r="I16" s="297">
        <v>760</v>
      </c>
      <c r="J16" s="288"/>
      <c r="K16" s="134"/>
      <c r="L16" s="134"/>
      <c r="M16" s="134"/>
      <c r="N16" s="134"/>
      <c r="O16" s="134"/>
      <c r="P16" s="134"/>
      <c r="Q16" s="134"/>
      <c r="R16" s="134"/>
    </row>
    <row r="17" ht="15" customHeight="1">
      <c r="A17" s="134"/>
      <c r="B17" s="134"/>
      <c r="C17" s="286"/>
      <c r="D17" s="205" t="s">
        <v>202</v>
      </c>
      <c r="E17" s="205"/>
      <c r="F17" s="296">
        <v>2</v>
      </c>
      <c r="G17" s="296">
        <v>1</v>
      </c>
      <c r="H17" s="297">
        <v>300</v>
      </c>
      <c r="I17" s="297">
        <v>600</v>
      </c>
      <c r="J17" s="288"/>
      <c r="K17" s="134"/>
      <c r="L17" s="134"/>
      <c r="M17" s="134"/>
      <c r="N17" s="134"/>
      <c r="O17" s="134"/>
      <c r="P17" s="134"/>
      <c r="Q17" s="134"/>
      <c r="R17" s="134"/>
    </row>
    <row r="18" ht="15" customHeight="1">
      <c r="A18" s="134"/>
      <c r="B18" s="134"/>
      <c r="C18" s="286"/>
      <c r="D18" s="205" t="s">
        <v>218</v>
      </c>
      <c r="E18" s="205"/>
      <c r="F18" s="296">
        <v>1</v>
      </c>
      <c r="G18" s="296">
        <v>1</v>
      </c>
      <c r="H18" s="297">
        <v>640</v>
      </c>
      <c r="I18" s="297">
        <v>640</v>
      </c>
      <c r="J18" s="288"/>
      <c r="K18" s="134"/>
      <c r="L18" s="134"/>
      <c r="M18" s="134"/>
      <c r="N18" s="134"/>
      <c r="O18" s="134"/>
      <c r="P18" s="134"/>
      <c r="Q18" s="134"/>
      <c r="R18" s="134"/>
    </row>
    <row r="19" ht="15" customHeight="1">
      <c r="A19" s="134"/>
      <c r="B19" s="134"/>
      <c r="C19" s="286"/>
      <c r="D19" s="205" t="s">
        <v>219</v>
      </c>
      <c r="E19" s="205"/>
      <c r="F19" s="296">
        <v>2</v>
      </c>
      <c r="G19" s="296">
        <v>1</v>
      </c>
      <c r="H19" s="297">
        <v>150</v>
      </c>
      <c r="I19" s="297">
        <v>300</v>
      </c>
      <c r="J19" s="288"/>
      <c r="K19" s="134"/>
      <c r="L19" s="134"/>
      <c r="M19" s="134"/>
      <c r="N19" s="134"/>
      <c r="O19" s="134"/>
      <c r="P19" s="134"/>
      <c r="Q19" s="134"/>
      <c r="R19" s="134"/>
    </row>
    <row r="20" ht="15" customHeight="1">
      <c r="A20" s="134"/>
      <c r="B20" s="134"/>
      <c r="C20" s="286"/>
      <c r="D20" s="205" t="s">
        <v>220</v>
      </c>
      <c r="E20" s="205"/>
      <c r="F20" s="296">
        <v>3</v>
      </c>
      <c r="G20" s="296">
        <v>1</v>
      </c>
      <c r="H20" s="297">
        <v>90</v>
      </c>
      <c r="I20" s="297">
        <v>270</v>
      </c>
      <c r="J20" s="288"/>
      <c r="K20" s="134"/>
      <c r="L20" s="134"/>
      <c r="M20" s="134"/>
      <c r="N20" s="134"/>
      <c r="O20" s="134"/>
      <c r="P20" s="134"/>
      <c r="Q20" s="134"/>
      <c r="R20" s="134"/>
    </row>
    <row r="21" ht="15" customHeight="1">
      <c r="A21" s="134"/>
      <c r="B21" s="134"/>
      <c r="C21" s="286"/>
      <c r="D21" s="289"/>
      <c r="E21" s="289"/>
      <c r="F21" s="289"/>
      <c r="G21" s="289"/>
      <c r="H21" s="289"/>
      <c r="I21" s="289"/>
      <c r="J21" s="288"/>
      <c r="K21" s="134"/>
      <c r="L21" s="134"/>
      <c r="M21" s="134"/>
      <c r="N21" s="134"/>
      <c r="O21" s="134"/>
      <c r="P21" s="134"/>
      <c r="Q21" s="134"/>
      <c r="R21" s="134"/>
    </row>
    <row r="22" ht="15" customHeight="1">
      <c r="A22" s="134"/>
      <c r="B22" s="298"/>
      <c r="C22" s="299"/>
      <c r="D22" s="147"/>
      <c r="E22" s="147"/>
      <c r="F22" s="147"/>
      <c r="G22" s="147"/>
      <c r="H22" s="147"/>
      <c r="I22" s="147"/>
      <c r="J22" s="298"/>
      <c r="K22" s="134"/>
      <c r="L22" s="134"/>
      <c r="M22" s="134"/>
      <c r="N22" s="134"/>
      <c r="O22" s="134"/>
      <c r="P22" s="134"/>
      <c r="Q22" s="134"/>
      <c r="R22" s="134"/>
    </row>
    <row r="23" ht="15" customHeight="1">
      <c r="A23" s="134"/>
      <c r="B23" s="134"/>
      <c r="C23" s="299"/>
      <c r="D23" s="147"/>
      <c r="E23" s="147"/>
      <c r="F23" s="147"/>
      <c r="G23" s="147"/>
      <c r="H23" s="147"/>
      <c r="I23" s="147"/>
      <c r="J23" s="298"/>
      <c r="K23" s="134"/>
      <c r="L23" s="134"/>
      <c r="M23" s="134"/>
      <c r="N23" s="134"/>
      <c r="O23" s="134"/>
      <c r="P23" s="134"/>
      <c r="Q23" s="134"/>
      <c r="R23" s="134"/>
    </row>
  </sheetData>
  <mergeCells>
    <mergeCell ref="D7:I7"/>
    <mergeCell ref="H9:I10"/>
    <mergeCell ref="E11:F11"/>
    <mergeCell ref="D15:E15"/>
    <mergeCell ref="D16:E16"/>
    <mergeCell ref="D17:E17"/>
    <mergeCell ref="D18:E18"/>
    <mergeCell ref="D19:E19"/>
    <mergeCell ref="D20:E20"/>
    <mergeCell ref="A1:E2"/>
  </mergeCells>
  <hyperlinks>
    <hyperlink ref="A1:E2" r:id="rId1" display="View Picture Shape Demo"/>
    <hyperlink ref="B1" r:id="rId2" display="View Picture Shape Demo"/>
    <hyperlink ref="C1" r:id="rId3" display="View Picture Shape Demo"/>
    <hyperlink ref="D1" r:id="rId4" display="View Picture Shape Demo"/>
    <hyperlink ref="E1" r:id="rId5" display="View Picture Shape Demo"/>
    <hyperlink ref="A2" r:id="rId6" display="View Picture Shape Demo"/>
    <hyperlink ref="B2" r:id="rId7" display="View Picture Shape Demo"/>
    <hyperlink ref="C2" r:id="rId8" display="View Picture Shape Demo"/>
    <hyperlink ref="D2" r:id="rId9" display="View Picture Shape Demo"/>
    <hyperlink ref="E2" r:id="rId10" display="View Picture Shape Demo"/>
  </hyperlink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drawing r:id="rId13"/>
  <legacyDrawing r:id="rId12"/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B8FB264-B22E-4FC7-9645-0325D731A6D7}" mc:Ignorable="x14ac xr xr2 xr3">
  <dimension ref="A1:I22"/>
  <sheetViews>
    <sheetView showGridLines="0" topLeftCell="A1" workbookViewId="0">
      <selection activeCell="C7" sqref="C7"/>
    </sheetView>
  </sheetViews>
  <sheetFormatPr defaultRowHeight="15" defaultColWidth="8.8515625" customHeight="1"/>
  <cols>
    <col min="1" max="1" width="3.8515625" customWidth="1"/>
    <col min="2" max="2" width="4.00390625" customWidth="1"/>
    <col min="3" max="3" width="15.8515625" customWidth="1"/>
    <col min="4" max="4" width="15.57421875" customWidth="1"/>
    <col min="5" max="5" width="17.00390625" customWidth="1"/>
    <col min="6" max="6" width="16.421875" customWidth="1"/>
    <col min="7" max="7" width="10.421875" customWidth="1"/>
    <col min="8" max="8" width="17.421875" customWidth="1"/>
    <col min="9" max="9" width="7.8515625" customWidth="1"/>
  </cols>
  <sheetData>
    <row r="1" ht="15" customHeight="1">
      <c r="A1" s="225" t="s">
        <v>53</v>
      </c>
      <c r="B1" s="127" t="s">
        <v>53</v>
      </c>
      <c r="C1" s="127" t="s">
        <v>53</v>
      </c>
      <c r="D1" s="127" t="s">
        <v>53</v>
      </c>
      <c r="E1" s="127" t="s">
        <v>53</v>
      </c>
    </row>
    <row r="2" ht="15" customHeight="1">
      <c r="A2" s="127" t="s">
        <v>53</v>
      </c>
      <c r="B2" s="127" t="s">
        <v>53</v>
      </c>
      <c r="C2" s="127" t="s">
        <v>53</v>
      </c>
      <c r="D2" s="127" t="s">
        <v>53</v>
      </c>
      <c r="E2" s="127" t="s">
        <v>53</v>
      </c>
    </row>
    <row r="3" ht="6.75" customHeight="1">
      <c r="A3" s="131"/>
      <c r="B3" s="134"/>
      <c r="C3" s="134"/>
      <c r="D3" s="134"/>
      <c r="E3" s="134"/>
      <c r="F3" s="134"/>
      <c r="G3" s="134"/>
      <c r="H3" s="134"/>
      <c r="I3" s="134"/>
    </row>
    <row r="4" ht="15" customHeight="1">
      <c r="A4" s="131"/>
      <c r="B4" s="133" t="s">
        <v>221</v>
      </c>
      <c r="C4" s="281"/>
      <c r="D4" s="281"/>
      <c r="E4" s="281"/>
      <c r="F4" s="281"/>
      <c r="G4" s="281"/>
      <c r="H4" s="281"/>
      <c r="I4" s="281"/>
    </row>
    <row r="5" ht="15" customHeight="1">
      <c r="A5" s="131"/>
      <c r="B5" s="134"/>
      <c r="C5" s="134"/>
      <c r="D5" s="134"/>
      <c r="E5" s="134"/>
      <c r="F5" s="134"/>
      <c r="G5" s="134"/>
      <c r="H5" s="134"/>
      <c r="I5" s="134"/>
    </row>
    <row r="6" ht="24.75" customHeight="1">
      <c r="A6" s="131"/>
      <c r="B6" s="134"/>
      <c r="C6" s="304" t="s">
        <v>222</v>
      </c>
      <c r="D6" s="308" t="s">
        <v>223</v>
      </c>
      <c r="E6" s="308" t="s">
        <v>224</v>
      </c>
      <c r="F6" s="308" t="s">
        <v>225</v>
      </c>
      <c r="G6" s="308" t="s">
        <v>226</v>
      </c>
      <c r="H6" s="312" t="s">
        <v>227</v>
      </c>
      <c r="I6" s="134"/>
    </row>
    <row r="7" ht="24.75" customHeight="1">
      <c r="A7" s="131"/>
      <c r="B7" s="134"/>
      <c r="C7" s="305">
        <v>46082</v>
      </c>
      <c r="D7" s="309" t="s">
        <v>228</v>
      </c>
      <c r="E7" s="309" t="s">
        <v>229</v>
      </c>
      <c r="F7" s="309" t="s">
        <v>230</v>
      </c>
      <c r="G7" s="309" t="s">
        <v>231</v>
      </c>
      <c r="H7" s="313" t="s">
        <v>184</v>
      </c>
      <c r="I7" s="134"/>
    </row>
    <row r="8" ht="24.75" customHeight="1">
      <c r="A8" s="131"/>
      <c r="B8" s="134"/>
      <c r="C8" s="306">
        <v>46083</v>
      </c>
      <c r="D8" s="310" t="s">
        <v>232</v>
      </c>
      <c r="E8" s="310" t="s">
        <v>233</v>
      </c>
      <c r="F8" s="310" t="s">
        <v>234</v>
      </c>
      <c r="G8" s="310" t="s">
        <v>235</v>
      </c>
      <c r="H8" s="314" t="s">
        <v>236</v>
      </c>
      <c r="I8" s="134"/>
    </row>
    <row r="9" ht="24.75" customHeight="1">
      <c r="A9" s="131"/>
      <c r="B9" s="147"/>
      <c r="C9" s="305">
        <v>46084</v>
      </c>
      <c r="D9" s="309" t="s">
        <v>237</v>
      </c>
      <c r="E9" s="309" t="s">
        <v>229</v>
      </c>
      <c r="F9" s="309" t="s">
        <v>230</v>
      </c>
      <c r="G9" s="309" t="s">
        <v>235</v>
      </c>
      <c r="H9" s="313" t="s">
        <v>238</v>
      </c>
      <c r="I9" s="147"/>
    </row>
    <row r="10" ht="24.75" customHeight="1">
      <c r="A10" s="131"/>
      <c r="B10" s="147"/>
      <c r="C10" s="306">
        <v>46090</v>
      </c>
      <c r="D10" s="310" t="s">
        <v>228</v>
      </c>
      <c r="E10" s="310" t="s">
        <v>233</v>
      </c>
      <c r="F10" s="310" t="s">
        <v>230</v>
      </c>
      <c r="G10" s="310" t="s">
        <v>235</v>
      </c>
      <c r="H10" s="314" t="s">
        <v>185</v>
      </c>
      <c r="I10" s="147"/>
    </row>
    <row r="11" ht="24.75" customHeight="1">
      <c r="A11" s="131"/>
      <c r="B11" s="147"/>
      <c r="C11" s="305">
        <v>46091</v>
      </c>
      <c r="D11" s="309" t="s">
        <v>237</v>
      </c>
      <c r="E11" s="309" t="s">
        <v>239</v>
      </c>
      <c r="F11" s="309" t="s">
        <v>240</v>
      </c>
      <c r="G11" s="309" t="s">
        <v>241</v>
      </c>
      <c r="H11" s="313" t="s">
        <v>242</v>
      </c>
      <c r="I11" s="147"/>
    </row>
    <row r="12" ht="24.75" customHeight="1">
      <c r="A12" s="131"/>
      <c r="B12" s="134"/>
      <c r="C12" s="306">
        <v>46092</v>
      </c>
      <c r="D12" s="310" t="s">
        <v>243</v>
      </c>
      <c r="E12" s="310" t="s">
        <v>229</v>
      </c>
      <c r="F12" s="310" t="s">
        <v>240</v>
      </c>
      <c r="G12" s="310" t="s">
        <v>231</v>
      </c>
      <c r="H12" s="314" t="s">
        <v>184</v>
      </c>
      <c r="I12" s="134"/>
    </row>
    <row r="13" ht="24.75" customHeight="1">
      <c r="A13" s="131"/>
      <c r="B13" s="147"/>
      <c r="C13" s="305">
        <v>46093</v>
      </c>
      <c r="D13" s="309" t="s">
        <v>228</v>
      </c>
      <c r="E13" s="309" t="s">
        <v>239</v>
      </c>
      <c r="F13" s="309" t="s">
        <v>230</v>
      </c>
      <c r="G13" s="309" t="s">
        <v>241</v>
      </c>
      <c r="H13" s="313" t="s">
        <v>242</v>
      </c>
      <c r="I13" s="147"/>
    </row>
    <row r="14" ht="24.75" customHeight="1">
      <c r="A14" s="131"/>
      <c r="B14" s="134"/>
      <c r="C14" s="306">
        <v>46094</v>
      </c>
      <c r="D14" s="310" t="s">
        <v>243</v>
      </c>
      <c r="E14" s="310" t="s">
        <v>233</v>
      </c>
      <c r="F14" s="310" t="s">
        <v>240</v>
      </c>
      <c r="G14" s="310" t="s">
        <v>241</v>
      </c>
      <c r="H14" s="314" t="s">
        <v>185</v>
      </c>
      <c r="I14" s="134"/>
    </row>
    <row r="15" ht="24.75" customHeight="1">
      <c r="A15" s="131"/>
      <c r="B15" s="147"/>
      <c r="C15" s="305">
        <v>46095</v>
      </c>
      <c r="D15" s="309" t="s">
        <v>232</v>
      </c>
      <c r="E15" s="309" t="s">
        <v>229</v>
      </c>
      <c r="F15" s="309" t="s">
        <v>234</v>
      </c>
      <c r="G15" s="309" t="s">
        <v>244</v>
      </c>
      <c r="H15" s="313" t="s">
        <v>238</v>
      </c>
      <c r="I15" s="147"/>
    </row>
    <row r="16" ht="24.75" customHeight="1">
      <c r="A16" s="131"/>
      <c r="B16" s="134"/>
      <c r="C16" s="306">
        <v>46096</v>
      </c>
      <c r="D16" s="310" t="s">
        <v>243</v>
      </c>
      <c r="E16" s="310" t="s">
        <v>239</v>
      </c>
      <c r="F16" s="310" t="s">
        <v>240</v>
      </c>
      <c r="G16" s="310" t="s">
        <v>244</v>
      </c>
      <c r="H16" s="314" t="s">
        <v>236</v>
      </c>
      <c r="I16" s="134"/>
    </row>
    <row r="17" ht="24.75" customHeight="1">
      <c r="A17" s="131"/>
      <c r="B17" s="134"/>
      <c r="C17" s="305">
        <v>46085</v>
      </c>
      <c r="D17" s="309" t="s">
        <v>243</v>
      </c>
      <c r="E17" s="309" t="s">
        <v>229</v>
      </c>
      <c r="F17" s="309" t="s">
        <v>240</v>
      </c>
      <c r="G17" s="309" t="s">
        <v>235</v>
      </c>
      <c r="H17" s="313" t="s">
        <v>184</v>
      </c>
      <c r="I17" s="134"/>
    </row>
    <row r="18" ht="24.75" customHeight="1">
      <c r="A18" s="131"/>
      <c r="B18" s="147"/>
      <c r="C18" s="306">
        <v>46086</v>
      </c>
      <c r="D18" s="310" t="s">
        <v>232</v>
      </c>
      <c r="E18" s="310" t="s">
        <v>239</v>
      </c>
      <c r="F18" s="310" t="s">
        <v>234</v>
      </c>
      <c r="G18" s="310" t="s">
        <v>241</v>
      </c>
      <c r="H18" s="314" t="s">
        <v>184</v>
      </c>
      <c r="I18" s="147"/>
    </row>
    <row r="19" ht="24.75" customHeight="1">
      <c r="A19" s="131"/>
      <c r="B19" s="134"/>
      <c r="C19" s="305">
        <v>46086</v>
      </c>
      <c r="D19" s="309" t="s">
        <v>243</v>
      </c>
      <c r="E19" s="309" t="s">
        <v>233</v>
      </c>
      <c r="F19" s="309" t="s">
        <v>240</v>
      </c>
      <c r="G19" s="309" t="s">
        <v>235</v>
      </c>
      <c r="H19" s="313" t="s">
        <v>185</v>
      </c>
      <c r="I19" s="134"/>
    </row>
    <row r="20" ht="24.75" customHeight="1">
      <c r="A20" s="131"/>
      <c r="B20" s="147"/>
      <c r="C20" s="306">
        <v>46087</v>
      </c>
      <c r="D20" s="310" t="s">
        <v>237</v>
      </c>
      <c r="E20" s="310" t="s">
        <v>233</v>
      </c>
      <c r="F20" s="310" t="s">
        <v>240</v>
      </c>
      <c r="G20" s="310" t="s">
        <v>235</v>
      </c>
      <c r="H20" s="314" t="s">
        <v>242</v>
      </c>
      <c r="I20" s="147"/>
    </row>
    <row r="21" ht="24.75" customHeight="1">
      <c r="A21" s="131"/>
      <c r="B21" s="134"/>
      <c r="C21" s="307">
        <v>46087</v>
      </c>
      <c r="D21" s="311" t="s">
        <v>243</v>
      </c>
      <c r="E21" s="311" t="s">
        <v>239</v>
      </c>
      <c r="F21" s="311" t="s">
        <v>240</v>
      </c>
      <c r="G21" s="311" t="s">
        <v>244</v>
      </c>
      <c r="H21" s="315" t="s">
        <v>236</v>
      </c>
      <c r="I21" s="134"/>
    </row>
    <row r="22" ht="15" customHeight="1">
      <c r="A22" s="131"/>
      <c r="B22" s="131"/>
      <c r="C22" s="131"/>
      <c r="D22" s="131"/>
      <c r="E22" s="131"/>
      <c r="F22" s="131"/>
      <c r="G22" s="131"/>
      <c r="H22" s="131"/>
      <c r="I22" s="131"/>
    </row>
  </sheetData>
  <mergeCells>
    <mergeCell ref="A1:E2"/>
  </mergeCells>
  <hyperlinks>
    <hyperlink ref="A1:E2" r:id="rId1" display="View More Table Demos"/>
    <hyperlink ref="B1" r:id="rId2" display="View More Table Demos"/>
    <hyperlink ref="C1" r:id="rId3" display="View More Table Demos"/>
    <hyperlink ref="D1" r:id="rId4" display="View More Table Demos"/>
    <hyperlink ref="E1" r:id="rId5" display="View More Table Demos"/>
    <hyperlink ref="A2" r:id="rId6" display="View More Table Demos"/>
    <hyperlink ref="B2" r:id="rId7" display="View More Table Demos"/>
    <hyperlink ref="C2" r:id="rId8" display="View More Table Demos"/>
    <hyperlink ref="D2" r:id="rId9" display="View More Table Demos"/>
    <hyperlink ref="E2" r:id="rId10" display="View More Table Demos"/>
  </hyperlink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tableParts count="1">
    <tablePart r:id="rId11"/>
  </tableParts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D4055CD-83D5-464C-8540-0D404B1F74CA}" mc:Ignorable="x14ac xr xr2 xr3">
  <dimension ref="A1:E23"/>
  <sheetViews>
    <sheetView showGridLines="0" topLeftCell="A1" workbookViewId="0">
      <selection activeCell="D6" sqref="D6"/>
    </sheetView>
  </sheetViews>
  <sheetFormatPr defaultRowHeight="15" defaultColWidth="8.8515625" customHeight="1"/>
  <cols>
    <col min="1" max="1" width="4.28125" customWidth="1"/>
    <col min="2" max="2" width="23.421875" customWidth="1"/>
    <col min="3" max="3" width="14.7109375" customWidth="1"/>
    <col min="4" max="4" width="90.57421875" customWidth="1"/>
  </cols>
  <sheetData>
    <row r="1" ht="15" customHeight="1">
      <c r="A1" s="225" t="s">
        <v>245</v>
      </c>
      <c r="B1" s="127" t="s">
        <v>245</v>
      </c>
      <c r="C1" s="127" t="s">
        <v>245</v>
      </c>
    </row>
    <row r="2" ht="15" customHeight="1">
      <c r="A2" s="127" t="s">
        <v>245</v>
      </c>
      <c r="B2" s="127" t="s">
        <v>245</v>
      </c>
      <c r="C2" s="127" t="s">
        <v>245</v>
      </c>
    </row>
    <row r="3" ht="15" customHeight="1">
      <c r="A3" s="134"/>
      <c r="B3" s="134"/>
      <c r="C3" s="134"/>
      <c r="D3" s="134"/>
      <c r="E3" s="131"/>
    </row>
    <row r="4" ht="15" customHeight="1">
      <c r="A4" s="264"/>
      <c r="B4" s="316" t="s">
        <v>246</v>
      </c>
      <c r="C4" s="316"/>
      <c r="D4" s="316"/>
      <c r="E4" s="131"/>
    </row>
    <row r="5" ht="15" customHeight="1">
      <c r="A5" s="134"/>
      <c r="B5" s="134"/>
      <c r="C5" s="134"/>
      <c r="D5" s="134"/>
      <c r="E5" s="131"/>
    </row>
    <row r="6" ht="25.5" customHeight="1">
      <c r="A6" s="134"/>
      <c r="B6" s="317" t="s">
        <v>247</v>
      </c>
      <c r="C6" s="318">
        <v>6000</v>
      </c>
      <c r="D6" s="319" t="s">
        <f>CASCADESPARKLINE(C6:C22,1,B6:B22,,,"rgb(173, 185, 201)","rgb(214, 96, 77)",FALSE)</f>
      </c>
      <c r="E6" s="131"/>
    </row>
    <row r="7" ht="25.5" customHeight="1">
      <c r="A7" s="134"/>
      <c r="B7" s="320" t="s">
        <v>248</v>
      </c>
      <c r="C7" s="321">
        <v>1000</v>
      </c>
      <c r="D7" s="319" t="s">
        <f>CASCADESPARKLINE(C6:C22,2,B6:B22,,,"rgb(173, 185, 201)","rgb(214, 96, 77)",FALSE)</f>
      </c>
      <c r="E7" s="131"/>
    </row>
    <row r="8" ht="25.5" customHeight="1">
      <c r="A8" s="134"/>
      <c r="B8" s="317" t="s">
        <v>249</v>
      </c>
      <c r="C8" s="318">
        <v>1000</v>
      </c>
      <c r="D8" s="319" t="s">
        <f>CASCADESPARKLINE(C6:C22,3,B6:B22,,,"rgb(173, 185, 201)","rgb(214, 96, 77)",FALSE)</f>
      </c>
      <c r="E8" s="131"/>
    </row>
    <row r="9" ht="25.5" customHeight="1">
      <c r="A9" s="134"/>
      <c r="B9" s="317" t="s">
        <v>250</v>
      </c>
      <c r="C9" s="322">
        <v>-700</v>
      </c>
      <c r="D9" s="319" t="s">
        <f>CASCADESPARKLINE(C6:C22,4,B6:B22,,,"rgb(173, 185, 201)","rgb(214, 96, 77)",FALSE)</f>
      </c>
      <c r="E9" s="131"/>
    </row>
    <row r="10" ht="25.5" customHeight="1">
      <c r="A10" s="134"/>
      <c r="B10" s="317" t="s">
        <v>251</v>
      </c>
      <c r="C10" s="322">
        <v>-160</v>
      </c>
      <c r="D10" s="319" t="s">
        <f>CASCADESPARKLINE(C6:C22,5,B6:B22,,,"rgb(173, 185, 201)","rgb(214, 96, 77)",FALSE)</f>
      </c>
      <c r="E10" s="131"/>
    </row>
    <row r="11" ht="25.5" customHeight="1">
      <c r="A11" s="134"/>
      <c r="B11" s="317" t="s">
        <v>252</v>
      </c>
      <c r="C11" s="322">
        <v>-200</v>
      </c>
      <c r="D11" s="319" t="s">
        <f>CASCADESPARKLINE(C6:C22,6,B6:B22,,,"rgb(173, 185, 201)","rgb(214, 96, 77)",FALSE)</f>
      </c>
      <c r="E11" s="131"/>
    </row>
    <row r="12" ht="25.5" customHeight="1">
      <c r="A12" s="134"/>
      <c r="B12" s="317" t="s">
        <v>253</v>
      </c>
      <c r="C12" s="322">
        <v>-80</v>
      </c>
      <c r="D12" s="319" t="s">
        <f>CASCADESPARKLINE(C6:C22,7,B6:B22,,,"rgb(173, 185, 201)","rgb(214, 96, 77)",FALSE)</f>
      </c>
      <c r="E12" s="131"/>
    </row>
    <row r="13" ht="25.5" customHeight="1">
      <c r="A13" s="134"/>
      <c r="B13" s="317" t="s">
        <v>254</v>
      </c>
      <c r="C13" s="322">
        <v>-300</v>
      </c>
      <c r="D13" s="319" t="s">
        <f>CASCADESPARKLINE(C6:C22,8,B6:B22,,,"rgb(173, 185, 201)","rgb(214, 96, 77)",FALSE)</f>
      </c>
      <c r="E13" s="131"/>
    </row>
    <row r="14" ht="25.5" customHeight="1">
      <c r="A14" s="134"/>
      <c r="B14" s="317" t="s">
        <v>255</v>
      </c>
      <c r="C14" s="322">
        <v>-1350</v>
      </c>
      <c r="D14" s="319" t="s">
        <f>CASCADESPARKLINE(C6:C22,9,B6:B22,,,"rgb(173, 185, 201)","rgb(214, 96, 77)",FALSE)</f>
      </c>
      <c r="E14" s="131"/>
    </row>
    <row r="15" ht="25.5" customHeight="1">
      <c r="A15" s="134"/>
      <c r="B15" s="317" t="s">
        <v>256</v>
      </c>
      <c r="C15" s="322">
        <v>-900</v>
      </c>
      <c r="D15" s="319" t="s">
        <f>CASCADESPARKLINE(C6:C22,10,B6:B22,,,"rgb(173, 185, 201)","rgb(214, 96, 77)",FALSE)</f>
      </c>
      <c r="E15" s="131"/>
    </row>
    <row r="16" ht="25.5" customHeight="1">
      <c r="A16" s="134"/>
      <c r="B16" s="317" t="s">
        <v>257</v>
      </c>
      <c r="C16" s="322">
        <v>-350</v>
      </c>
      <c r="D16" s="319" t="s">
        <f>CASCADESPARKLINE(C6:C22,11,B6:B22,,,"rgb(173, 185, 201)","rgb(214, 96, 77)",FALSE)</f>
      </c>
      <c r="E16" s="131"/>
    </row>
    <row r="17" ht="25.5" customHeight="1">
      <c r="A17" s="134"/>
      <c r="B17" s="317" t="s">
        <v>258</v>
      </c>
      <c r="C17" s="322">
        <v>-200</v>
      </c>
      <c r="D17" s="319" t="s">
        <f>CASCADESPARKLINE(C6:C22,12,B6:B22,,,"rgb(173, 185, 201)","rgb(214, 96, 77)",FALSE)</f>
      </c>
      <c r="E17" s="131"/>
    </row>
    <row r="18" ht="25.5" customHeight="1">
      <c r="A18" s="134"/>
      <c r="B18" s="317" t="s">
        <v>259</v>
      </c>
      <c r="C18" s="322">
        <v>-300</v>
      </c>
      <c r="D18" s="319" t="s">
        <f>CASCADESPARKLINE(C6:C22,13,B6:B22,,,"rgb(173, 185, 201)","rgb(214, 96, 77)",FALSE)</f>
      </c>
      <c r="E18" s="131"/>
    </row>
    <row r="19" ht="25.5" customHeight="1">
      <c r="A19" s="134"/>
      <c r="B19" s="317" t="s">
        <v>260</v>
      </c>
      <c r="C19" s="322">
        <v>-650</v>
      </c>
      <c r="D19" s="319" t="s">
        <f>CASCADESPARKLINE(C6:C22,14,B6:B22,,,"rgb(173, 185, 201)","rgb(214, 96, 77)",FALSE)</f>
      </c>
      <c r="E19" s="131"/>
    </row>
    <row r="20" ht="25.5" customHeight="1">
      <c r="A20" s="134"/>
      <c r="B20" s="317" t="s">
        <v>261</v>
      </c>
      <c r="C20" s="322">
        <v>-400</v>
      </c>
      <c r="D20" s="319" t="s">
        <f>CASCADESPARKLINE(C6:C22,15,B6:B22,,,"rgb(173, 185, 201)","rgb(214, 96, 77)",FALSE)</f>
      </c>
      <c r="E20" s="131"/>
    </row>
    <row r="21" ht="25.5" customHeight="1">
      <c r="A21" s="134"/>
      <c r="B21" s="323" t="s">
        <v>262</v>
      </c>
      <c r="C21" s="324">
        <v>-100</v>
      </c>
      <c r="D21" s="319" t="s">
        <f>CASCADESPARKLINE(C6:C22,16,B6:B22,,,"rgb(173, 185, 201)","rgb(214, 96, 77)",FALSE)</f>
      </c>
      <c r="E21" s="131"/>
    </row>
    <row r="22" ht="25.5" customHeight="1">
      <c r="A22" s="134"/>
      <c r="B22" s="317" t="s">
        <v>263</v>
      </c>
      <c r="C22" s="318">
        <v>2310</v>
      </c>
      <c r="D22" s="319" t="s">
        <f>CASCADESPARKLINE(C6:C22,17,B6:B22,,,"rgb(173, 185, 201)","rgb(214, 96, 77)",FALSE)</f>
      </c>
      <c r="E22" s="131"/>
    </row>
    <row r="23" ht="15" customHeight="1">
      <c r="A23" s="134"/>
      <c r="B23" s="134"/>
      <c r="C23" s="134"/>
      <c r="D23" s="134"/>
      <c r="E23" s="131"/>
    </row>
  </sheetData>
  <mergeCells>
    <mergeCell ref="B4:D4"/>
    <mergeCell ref="A1:C2"/>
  </mergeCells>
  <hyperlinks>
    <hyperlink ref="A1:C2" r:id="rId1" display="View More Sparkline Demos"/>
    <hyperlink ref="B1" r:id="rId2" display="View More Sparkline Demos"/>
    <hyperlink ref="C1" r:id="rId3" display="View More Sparkline Demos"/>
    <hyperlink ref="A2" r:id="rId4" display="View More Sparkline Demos"/>
    <hyperlink ref="B2" r:id="rId5" display="View More Sparkline Demos"/>
    <hyperlink ref="C2" r:id="rId6" display="View More Sparkline Demos"/>
  </hyperlink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CC50325-AF24-47CC-99FE-7232CCF7505E}" mc:Ignorable="x14ac xr xr2 xr3">
  <dimension ref="A1:S26"/>
  <sheetViews>
    <sheetView showGridLines="0" topLeftCell="A1" workbookViewId="0">
      <selection activeCell="R21" sqref="R21"/>
    </sheetView>
  </sheetViews>
  <sheetFormatPr defaultRowHeight="15" defaultColWidth="8.8515625" customHeight="1"/>
  <cols>
    <col min="1" max="1" style="131" width="4.28125" customWidth="1"/>
  </cols>
  <sheetData>
    <row r="1" ht="15" customHeight="1">
      <c r="A1" s="325" t="s">
        <v>264</v>
      </c>
      <c r="B1" s="127" t="s">
        <v>264</v>
      </c>
      <c r="C1" s="127" t="s">
        <v>264</v>
      </c>
      <c r="D1" s="127" t="s">
        <v>264</v>
      </c>
      <c r="E1" s="127" t="s">
        <v>264</v>
      </c>
      <c r="F1" s="127" t="s">
        <v>264</v>
      </c>
    </row>
    <row r="2" ht="15" customHeight="1">
      <c r="A2" s="326" t="s">
        <v>264</v>
      </c>
      <c r="B2" s="127" t="s">
        <v>264</v>
      </c>
      <c r="C2" s="127" t="s">
        <v>264</v>
      </c>
      <c r="D2" s="127" t="s">
        <v>264</v>
      </c>
      <c r="E2" s="127" t="s">
        <v>264</v>
      </c>
      <c r="F2" s="127" t="s">
        <v>264</v>
      </c>
    </row>
    <row r="3" ht="15" customHeight="1">
      <c r="B3" s="327"/>
      <c r="C3" s="327">
        <v>2020</v>
      </c>
      <c r="D3" s="327">
        <v>2021</v>
      </c>
      <c r="E3" s="327">
        <v>2022</v>
      </c>
      <c r="F3" s="327">
        <v>2023</v>
      </c>
      <c r="G3" s="327">
        <v>2024</v>
      </c>
      <c r="H3" s="327">
        <v>2025</v>
      </c>
      <c r="I3" s="327">
        <v>2026</v>
      </c>
      <c r="J3" s="131"/>
      <c r="K3" s="131"/>
      <c r="L3" s="131"/>
      <c r="M3" s="131"/>
      <c r="N3" s="131"/>
      <c r="O3" s="131"/>
      <c r="P3" s="131"/>
      <c r="Q3" s="131"/>
      <c r="R3" s="131"/>
      <c r="S3" s="131"/>
    </row>
    <row r="4" ht="15" customHeight="1">
      <c r="B4" s="328" t="s">
        <v>265</v>
      </c>
      <c r="C4" s="328">
        <v>320</v>
      </c>
      <c r="D4" s="328">
        <v>302</v>
      </c>
      <c r="E4" s="328">
        <v>301</v>
      </c>
      <c r="F4" s="328">
        <v>334</v>
      </c>
      <c r="G4" s="328">
        <v>390</v>
      </c>
      <c r="H4" s="328">
        <v>330</v>
      </c>
      <c r="I4" s="328">
        <v>320</v>
      </c>
      <c r="J4" s="131"/>
      <c r="K4" s="131"/>
      <c r="L4" s="131"/>
      <c r="M4" s="131"/>
      <c r="N4" s="131"/>
      <c r="O4" s="131"/>
      <c r="P4" s="131"/>
      <c r="Q4" s="131"/>
      <c r="R4" s="131"/>
      <c r="S4" s="131"/>
    </row>
    <row r="5" ht="15" customHeight="1">
      <c r="B5" s="328" t="s">
        <v>266</v>
      </c>
      <c r="C5" s="328">
        <v>120</v>
      </c>
      <c r="D5" s="328">
        <v>132</v>
      </c>
      <c r="E5" s="328">
        <v>101</v>
      </c>
      <c r="F5" s="328">
        <v>134</v>
      </c>
      <c r="G5" s="328">
        <v>90</v>
      </c>
      <c r="H5" s="328">
        <v>230</v>
      </c>
      <c r="I5" s="328">
        <v>210</v>
      </c>
      <c r="J5" s="131"/>
      <c r="K5" s="131"/>
      <c r="L5" s="131"/>
      <c r="M5" s="131"/>
      <c r="N5" s="131"/>
      <c r="O5" s="131"/>
      <c r="P5" s="131"/>
      <c r="Q5" s="131"/>
      <c r="R5" s="131"/>
      <c r="S5" s="131"/>
    </row>
    <row r="6" ht="15" customHeight="1">
      <c r="B6" s="328" t="s">
        <v>267</v>
      </c>
      <c r="C6" s="328">
        <v>220</v>
      </c>
      <c r="D6" s="328">
        <v>182</v>
      </c>
      <c r="E6" s="328">
        <v>191</v>
      </c>
      <c r="F6" s="328">
        <v>234</v>
      </c>
      <c r="G6" s="328">
        <v>290</v>
      </c>
      <c r="H6" s="328">
        <v>145</v>
      </c>
      <c r="I6" s="328">
        <v>122</v>
      </c>
      <c r="J6" s="131"/>
      <c r="K6" s="131"/>
      <c r="L6" s="131"/>
      <c r="M6" s="131"/>
      <c r="N6" s="131"/>
      <c r="O6" s="131"/>
      <c r="P6" s="131"/>
      <c r="Q6" s="131"/>
      <c r="R6" s="131"/>
      <c r="S6" s="131"/>
    </row>
    <row r="7" ht="15" customHeight="1">
      <c r="B7" s="328" t="s">
        <v>268</v>
      </c>
      <c r="C7" s="328">
        <v>820</v>
      </c>
      <c r="D7" s="328">
        <v>832</v>
      </c>
      <c r="E7" s="328">
        <v>901</v>
      </c>
      <c r="F7" s="328">
        <v>934</v>
      </c>
      <c r="G7" s="328">
        <v>1290</v>
      </c>
      <c r="H7" s="328">
        <v>1330</v>
      </c>
      <c r="I7" s="328">
        <v>1320</v>
      </c>
      <c r="J7" s="131"/>
      <c r="K7" s="131"/>
      <c r="L7" s="131"/>
      <c r="M7" s="131"/>
      <c r="N7" s="131"/>
      <c r="O7" s="131"/>
      <c r="P7" s="131"/>
      <c r="Q7" s="131"/>
      <c r="R7" s="131"/>
      <c r="S7" s="131"/>
    </row>
    <row r="8" ht="15" customHeight="1"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</row>
    <row r="9" ht="15" customHeight="1">
      <c r="B9" s="131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</row>
    <row r="10" ht="15" customHeight="1">
      <c r="B10" s="131"/>
      <c r="C10" s="131"/>
      <c r="D10" s="131"/>
      <c r="E10" s="131"/>
      <c r="F10" s="131"/>
      <c r="G10" s="131"/>
      <c r="H10" s="131"/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</row>
    <row r="11" ht="15" customHeight="1">
      <c r="B11" s="131"/>
      <c r="C11" s="131"/>
      <c r="D11" s="131"/>
      <c r="E11" s="131"/>
      <c r="F11" s="131"/>
      <c r="G11" s="131"/>
      <c r="H11" s="131"/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</row>
    <row r="12" ht="15" customHeight="1"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</row>
    <row r="13" ht="15" customHeight="1">
      <c r="B13" s="131"/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1"/>
      <c r="P13" s="131"/>
      <c r="Q13" s="131"/>
      <c r="R13" s="131"/>
      <c r="S13" s="131"/>
    </row>
    <row r="14" ht="15" customHeight="1">
      <c r="B14" s="131"/>
      <c r="C14" s="131"/>
      <c r="D14" s="131"/>
      <c r="E14" s="131"/>
      <c r="F14" s="131"/>
      <c r="G14" s="131"/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</row>
    <row r="15" ht="15" customHeight="1"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</row>
    <row r="16" ht="15" customHeight="1">
      <c r="B16" s="131"/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</row>
    <row r="17" ht="15" customHeight="1"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</row>
    <row r="18" ht="15" customHeight="1">
      <c r="B18" s="131"/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</row>
    <row r="19" ht="15" customHeight="1">
      <c r="B19" s="131"/>
      <c r="C19" s="131"/>
      <c r="D19" s="131"/>
      <c r="E19" s="131"/>
      <c r="F19" s="131"/>
      <c r="G19" s="131"/>
      <c r="H19" s="131"/>
      <c r="I19" s="131"/>
      <c r="J19" s="131"/>
      <c r="K19" s="131"/>
    </row>
    <row r="20" ht="15" customHeight="1">
      <c r="B20" s="131"/>
      <c r="C20" s="131"/>
      <c r="D20" s="131"/>
      <c r="E20" s="131"/>
      <c r="F20" s="131"/>
      <c r="G20" s="131"/>
      <c r="H20" s="131"/>
      <c r="I20" s="131"/>
      <c r="J20" s="131"/>
      <c r="K20" s="131"/>
    </row>
    <row r="21" ht="15" customHeight="1">
      <c r="B21" s="131"/>
      <c r="C21" s="131"/>
      <c r="D21" s="131"/>
      <c r="E21" s="131"/>
      <c r="F21" s="131"/>
      <c r="G21" s="131"/>
      <c r="H21" s="131"/>
      <c r="I21" s="131"/>
      <c r="J21" s="131"/>
      <c r="K21" s="131"/>
    </row>
    <row r="22" ht="15" customHeight="1">
      <c r="B22" s="131"/>
      <c r="C22" s="131"/>
      <c r="D22" s="131"/>
      <c r="E22" s="131"/>
      <c r="F22" s="131"/>
      <c r="G22" s="131"/>
      <c r="H22" s="131"/>
      <c r="I22" s="131"/>
      <c r="J22" s="131"/>
      <c r="K22" s="131"/>
    </row>
    <row r="23" ht="15" customHeight="1">
      <c r="B23" s="131"/>
      <c r="C23" s="131"/>
      <c r="D23" s="131"/>
      <c r="E23" s="131"/>
      <c r="F23" s="131"/>
      <c r="G23" s="131"/>
      <c r="H23" s="131"/>
      <c r="I23" s="131"/>
      <c r="J23" s="131"/>
      <c r="K23" s="131"/>
    </row>
    <row r="24" ht="15" customHeight="1"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</row>
    <row r="25" ht="15" customHeight="1"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</row>
    <row r="26" ht="15" customHeight="1"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</row>
  </sheetData>
  <mergeCells>
    <mergeCell ref="A1:F2"/>
  </mergeCells>
  <hyperlinks>
    <hyperlink ref="A1:F2" r:id="rId1" display="View More Chart Demos"/>
    <hyperlink ref="B1" r:id="rId2" display="View More Chart Demos"/>
    <hyperlink ref="C1" r:id="rId3" display="View More Chart Demos"/>
    <hyperlink ref="D1" r:id="rId4" display="View More Chart Demos"/>
    <hyperlink ref="E1" r:id="rId5" display="View More Chart Demos"/>
    <hyperlink ref="F1" r:id="rId6" display="View More Chart Demos"/>
    <hyperlink ref="A2" r:id="rId7" display="View More Chart Demos"/>
    <hyperlink ref="B2" r:id="rId8" display="View More Chart Demos"/>
    <hyperlink ref="C2" r:id="rId9" display="View More Chart Demos"/>
    <hyperlink ref="D2" r:id="rId10" display="View More Chart Demos"/>
    <hyperlink ref="E2" r:id="rId11" display="View More Chart Demos"/>
    <hyperlink ref="F2" r:id="rId12" display="View More Chart Demos"/>
  </hyperlink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drawing r:id="rId13"/>
  <extLst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1D67B68-2A77-48AB-AF0E-54351D1553ED}" mc:Ignorable="x14ac xr xr2 xr3">
  <dimension ref="A1:E14"/>
  <sheetViews>
    <sheetView topLeftCell="A1" workbookViewId="0">
      <selection activeCell="D4" sqref="D4"/>
    </sheetView>
  </sheetViews>
  <sheetFormatPr defaultRowHeight="15" defaultColWidth="8.8515625" customHeight="1"/>
  <cols>
    <col min="1" max="1" style="131" width="4.140625" customWidth="1"/>
    <col min="2" max="2" style="131" width="22.00390625" customWidth="1"/>
    <col min="3" max="3" style="131" width="16.7109375" customWidth="1"/>
    <col min="4" max="4" style="131" width="25.00390625" customWidth="1"/>
    <col min="5" max="5" style="131" width="8.8515625" customWidth="1"/>
  </cols>
  <sheetData>
    <row r="1" ht="15" customHeight="1">
      <c r="A1" s="325" t="s">
        <v>269</v>
      </c>
      <c r="B1" s="326" t="s">
        <v>269</v>
      </c>
      <c r="C1" s="326" t="s">
        <v>269</v>
      </c>
    </row>
    <row r="2" ht="15" customHeight="1">
      <c r="A2" s="326" t="s">
        <v>269</v>
      </c>
      <c r="B2" s="326" t="s">
        <v>269</v>
      </c>
      <c r="C2" s="326" t="s">
        <v>269</v>
      </c>
    </row>
    <row r="3" ht="20.25" customHeight="1">
      <c r="B3" s="134"/>
      <c r="C3" s="134"/>
      <c r="D3" s="134"/>
    </row>
    <row r="4" ht="51" customHeight="1">
      <c r="B4" s="329" t="s">
        <v>270</v>
      </c>
      <c r="C4" s="166">
        <v>123545346</v>
      </c>
      <c r="D4" s="134" t="s">
        <f>BC_QRCODE(C4)</f>
      </c>
    </row>
    <row r="5" ht="51" customHeight="1">
      <c r="B5" s="329" t="s">
        <v>271</v>
      </c>
      <c r="C5" s="166">
        <v>4254534</v>
      </c>
      <c r="D5" s="134" t="s">
        <f>BC_DATAMATRIX(C5)</f>
      </c>
    </row>
    <row r="6" ht="51" customHeight="1">
      <c r="B6" s="329" t="s">
        <v>272</v>
      </c>
      <c r="C6" s="166">
        <v>1325143</v>
      </c>
      <c r="D6" s="134" t="s">
        <f>BC_CODABAR(C6)</f>
      </c>
    </row>
    <row r="7" ht="51" customHeight="1">
      <c r="B7" s="329" t="s">
        <v>273</v>
      </c>
      <c r="C7" s="166">
        <v>43564364</v>
      </c>
      <c r="D7" s="134" t="s">
        <f>BC_PDF417(C7)</f>
      </c>
    </row>
    <row r="8" ht="51" customHeight="1">
      <c r="B8" s="329" t="s">
        <v>274</v>
      </c>
      <c r="C8" s="166">
        <v>1425775</v>
      </c>
      <c r="D8" s="134" t="s">
        <f>BC_EAN8(C8)</f>
      </c>
    </row>
    <row r="9" ht="51" customHeight="1">
      <c r="B9" s="329" t="s">
        <v>275</v>
      </c>
      <c r="C9" s="166">
        <v>456987123594</v>
      </c>
      <c r="D9" s="134" t="s">
        <f>BC_EAN13(C9)</f>
      </c>
    </row>
    <row r="10" ht="51" customHeight="1">
      <c r="B10" s="329" t="s">
        <v>276</v>
      </c>
      <c r="C10" s="166">
        <v>423535645</v>
      </c>
      <c r="D10" s="134" t="s">
        <f>BC_CODE39(C10)</f>
      </c>
    </row>
    <row r="11" ht="51" customHeight="1">
      <c r="B11" s="329" t="s">
        <v>277</v>
      </c>
      <c r="C11" s="166">
        <v>578554745</v>
      </c>
      <c r="D11" s="134" t="s">
        <f>BC_CODE49(C11)</f>
      </c>
    </row>
    <row r="12" ht="51" customHeight="1">
      <c r="B12" s="329" t="s">
        <v>278</v>
      </c>
      <c r="C12" s="166">
        <v>45245325</v>
      </c>
      <c r="D12" s="330" t="s">
        <f>BC_CODE93(C12)</f>
      </c>
    </row>
    <row r="13" ht="51" customHeight="1">
      <c r="B13" s="329" t="s">
        <v>279</v>
      </c>
      <c r="C13" s="166">
        <v>5246456</v>
      </c>
      <c r="D13" s="330" t="s">
        <f>BC_CODE128(C13)</f>
      </c>
    </row>
    <row r="14" ht="51" customHeight="1">
      <c r="B14" s="329" t="s">
        <v>280</v>
      </c>
      <c r="C14" s="166">
        <v>15343566383</v>
      </c>
      <c r="D14" s="330" t="s">
        <f>BC_GS1_128(C14)</f>
      </c>
    </row>
  </sheetData>
  <mergeCells>
    <mergeCell ref="A1:C2"/>
  </mergeCells>
  <hyperlinks>
    <hyperlink ref="A1:C2" r:id="rId1" display="View More Barcode Demos"/>
    <hyperlink ref="B1" r:id="rId2" display="View More Barcode Demos"/>
    <hyperlink ref="C1" r:id="rId3" display="View More Barcode Demos"/>
    <hyperlink ref="A2" r:id="rId4" display="View More Barcode Demos"/>
    <hyperlink ref="B2" r:id="rId5" display="View More Barcode Demos"/>
    <hyperlink ref="C2" r:id="rId6" display="View More Barcode Demos"/>
  </hyperlink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6A18DE4-FDC9-4743-A66A-F1CB83E970A2}" mc:Ignorable="x14ac xr xr2 xr3">
  <dimension ref="A1:O32"/>
  <sheetViews>
    <sheetView topLeftCell="A1" workbookViewId="0">
      <selection activeCell="D16" sqref="D16"/>
    </sheetView>
  </sheetViews>
  <sheetFormatPr defaultRowHeight="15" defaultColWidth="8.8515625" customHeight="1"/>
  <sheetData>
    <row r="1" ht="15" customHeight="1">
      <c r="A1" s="225" t="s">
        <v>281</v>
      </c>
      <c r="B1" s="127" t="s">
        <v>281</v>
      </c>
      <c r="C1" s="127" t="s">
        <v>281</v>
      </c>
      <c r="D1" s="127" t="s">
        <v>281</v>
      </c>
      <c r="E1" s="127" t="s">
        <v>281</v>
      </c>
    </row>
    <row r="2" ht="15" customHeight="1">
      <c r="A2" s="127" t="s">
        <v>281</v>
      </c>
      <c r="B2" s="127" t="s">
        <v>281</v>
      </c>
      <c r="C2" s="127" t="s">
        <v>281</v>
      </c>
      <c r="D2" s="127" t="s">
        <v>281</v>
      </c>
      <c r="E2" s="127" t="s">
        <v>281</v>
      </c>
    </row>
  </sheetData>
  <mergeCells>
    <mergeCell ref="A1:E2"/>
  </mergeCells>
  <hyperlinks>
    <hyperlink ref="A1:E2" r:id="rId1" display="View More Shape Demos"/>
    <hyperlink ref="B1" r:id="rId2" display="View More Shape Demos"/>
    <hyperlink ref="C1" r:id="rId3" display="View More Shape Demos"/>
    <hyperlink ref="D1" r:id="rId4" display="View More Shape Demos"/>
    <hyperlink ref="E1" r:id="rId5" display="View More Shape Demos"/>
    <hyperlink ref="A2" r:id="rId6" display="View More Shape Demos"/>
    <hyperlink ref="B2" r:id="rId7" display="View More Shape Demos"/>
    <hyperlink ref="C2" r:id="rId8" display="View More Shape Demos"/>
    <hyperlink ref="D2" r:id="rId9" display="View More Shape Demos"/>
    <hyperlink ref="E2" r:id="rId10" display="View More Shape Demos"/>
  </hyperlinks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drawing r:id="rId11"/>
  <extLst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3EDD25A-770B-4798-8E4C-C8F0D07D00E3}" mc:Ignorable="x14ac xr xr2 xr3">
  <dimension ref="A1:T20"/>
  <sheetViews>
    <sheetView topLeftCell="A1" workbookViewId="0">
      <selection activeCell="A1" sqref="A1"/>
    </sheetView>
  </sheetViews>
  <sheetFormatPr defaultRowHeight="22.5" defaultColWidth="7.50390625" customHeight="1"/>
  <sheetData>
    <row r="2" ht="22.5" customHeight="1">
      <c r="B2" t="str">
        <v>Powered by MESCIUS SpreadJS Evaluation Version</v>
      </c>
    </row>
    <row r="3" ht="22.5" customHeight="1">
      <c r="B3" t="str">
        <v>Not Licensed for Distribution</v>
      </c>
    </row>
  </sheetData>
  <printOptions/>
  <pageMargins left="0.7" right="0.7" top="0.75" bottom="0.75" header="0.3" footer="0.3"/>
  <pageSetup paperSize="1" useFirstPageNumber="1" firstPageNumber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2026-05-21T12:10:07Z</dcterms:modified>
  <dcterms:created xsi:type="dcterms:W3CDTF">2025-02-18T07:20:35Z</dcterms:created>
</cp:coreProperties>
</file>