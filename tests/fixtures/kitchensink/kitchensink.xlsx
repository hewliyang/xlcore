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  <sheet r:id="rId2" name="TableSheet" sheetId="2"/>
  </sheets>
  <definedNames>
    <definedName name="RegionList">Sheet1!$A$2:$A$5</definedName>
  </definedNames>
  <calcPr calcId="0" iterate="1" iterateCount="1000" iterateDelta="0.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" authorId="0">
      <text>
        <r>
          <rPr>
            <sz val="9"/>
            <color rgb="FF000000"/>
            <rFont val="Arial"/>
            <family val="2"/>
          </rPr>
          <t>Forecast — needs review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<sst xmlns="http://schemas.openxmlformats.org/spreadsheetml/2006/main" count="24" uniqueCount="24">
  <si>
    <t>Region</t>
  </si>
  <si>
    <t>Q1</t>
  </si>
  <si>
    <t>Q2</t>
  </si>
  <si>
    <t>Q3</t>
  </si>
  <si>
    <t>Q4</t>
  </si>
  <si>
    <t>Sorted by Q4 desc</t>
  </si>
  <si>
    <t>SEQUENCE</t>
  </si>
  <si>
    <t>North</t>
  </si>
  <si>
    <t>South</t>
  </si>
  <si>
    <t>East</t>
  </si>
  <si>
    <t>West</t>
  </si>
  <si>
    <t>Total</t>
  </si>
  <si>
    <t>Weighted</t>
  </si>
  <si>
    <t>FILTER Q4&gt;120</t>
  </si>
  <si>
    <t>Growth (LET)</t>
  </si>
  <si>
    <t>FY24 Regional Performance</t>
  </si>
  <si>
    <t>UNIQUE</t>
  </si>
  <si>
    <t>Item</t>
  </si>
  <si>
    <t>Qty</t>
  </si>
  <si>
    <t>Price</t>
  </si>
  <si>
    <t>Apple</t>
  </si>
  <si>
    <t>Pear</t>
  </si>
  <si>
    <t>Plum</t>
  </si>
  <si>
    <t>Kiwi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</si>
</sst>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4" formatCode="$#,##0"/>
    <numFmt numFmtId="454" formatCode="$#,##0.00"/>
    <numFmt numFmtId="455" formatCode="0.0%"/>
  </numFmts>
  <fonts count="6">
    <font>
      <sz val="11"/>
      <color theme="1"/>
      <name val="Calibri"/>
      <scheme val="minor"/>
    </font>
    <font>
      <b/>
      <color rgb="FFFFFFFF"/>
      <name val="Calibri"/>
      <scheme val="minor"/>
    </font>
    <font>
      <b/>
      <name val="Calibri"/>
      <scheme val="minor"/>
    </font>
    <font>
      <name val="Calibri"/>
      <scheme val="minor"/>
    </font>
    <font>
      <i/>
      <name val="Calibri"/>
      <scheme val="minor"/>
    </font>
    <font>
      <i val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9">
    <xf numFmtId="0" fontId="0" fillId="0" borderId="1" xfId="0">
      <alignment vertical="top"/>
    </xf>
    <xf numFmtId="0" fontId="1" fillId="2" borderId="0" xfId="0">
      <alignment vertical="top"/>
    </xf>
    <xf numFmtId="0" fontId="2" fillId="0" borderId="0" xfId="0">
      <alignment vertical="top"/>
    </xf>
    <xf numFmtId="434" fontId="3" fillId="0" borderId="0" xfId="0">
      <alignment vertical="top"/>
    </xf>
    <xf numFmtId="434" fontId="2" fillId="0" borderId="0" xfId="0">
      <alignment vertical="top"/>
    </xf>
    <xf numFmtId="0" fontId="4" fillId="0" borderId="0" xfId="0">
      <alignment vertical="top"/>
    </xf>
    <xf numFmtId="454" fontId="3" fillId="0" borderId="0" xfId="0">
      <alignment vertical="top"/>
    </xf>
    <xf numFmtId="455" fontId="3" fillId="0" borderId="0" xfId="0">
      <alignment vertical="top"/>
    </xf>
    <xf numFmtId="0" fontId="5" fillId="3" borderId="0" xfId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Quarterly Sales by Region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</c:spPr>
          <c:cat>
            <c:strRef>
              <c:f>Sheet1!$B$1:$E$1</c:f>
            </c:strRef>
          </c:cat>
          <c:val>
            <c:numRef>
              <c:f>Sheet1!$B$2:$E$2</c:f>
              <c:numCache>
                <c:formatCode>$#,##0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Sheet1!$A$3</c:f>
            </c:strRef>
          </c:tx>
          <c:spPr>
            <a:solidFill>
              <a:schemeClr val="accent2"/>
            </a:solidFill>
          </c:spPr>
          <c:cat>
            <c:strRef>
              <c:f>Sheet1!$B$1:$E$1</c:f>
            </c:strRef>
          </c:cat>
          <c:val>
            <c:numRef>
              <c:f>Sheet1!$B$3:$E$3</c:f>
              <c:numCache>
                <c:formatCode>$#,##0</c:formatCode>
              </c:numCache>
            </c:numRef>
          </c:val>
          <c:extLst/>
          <c:invertIfNegative val="0"/>
        </c:ser>
        <c:ser seriesType="0">
          <c:idx val="2"/>
          <c:order val="2"/>
          <c:tx>
            <c:strRef>
              <c:f>Sheet1!$A$4</c:f>
            </c:strRef>
          </c:tx>
          <c:spPr>
            <a:solidFill>
              <a:schemeClr val="accent3"/>
            </a:solidFill>
          </c:spPr>
          <c:cat>
            <c:strRef>
              <c:f>Sheet1!$B$1:$E$1</c:f>
            </c:strRef>
          </c:cat>
          <c:val>
            <c:numRef>
              <c:f>Sheet1!$B$4:$E$4</c:f>
              <c:numCache>
                <c:formatCode>$#,##0</c:formatCode>
              </c:numCache>
            </c:numRef>
          </c:val>
          <c:extLst/>
          <c:invertIfNegative val="0"/>
        </c:ser>
        <c:ser seriesType="0">
          <c:idx val="3"/>
          <c:order val="3"/>
          <c:tx>
            <c:strRef>
              <c:f>Sheet1!$A$5</c:f>
            </c:strRef>
          </c:tx>
          <c:spPr>
            <a:solidFill>
              <a:schemeClr val="accent4"/>
            </a:solidFill>
          </c:spPr>
          <c:cat>
            <c:strRef>
              <c:f>Sheet1!$B$1:$E$1</c:f>
            </c:strRef>
          </c:cat>
          <c:val>
            <c:numRef>
              <c:f>Sheet1!$B$5:$E$5</c:f>
              <c:numCache>
                <c:formatCode>$#,##0</c:formatCode>
              </c:numCache>
            </c:numRef>
          </c:val>
          <c:extLst/>
          <c:invertIfNegative val="0"/>
        </c:ser>
        <c:axId val="58145937"/>
        <c:axId val="63931343"/>
        <c:barDir val="col"/>
        <c:grouping val="clustered"/>
        <c:gapWidth val="150"/>
        <c:varyColors val="0"/>
        <c:overlap val="-27"/>
      </c:barChart>
      <c:catAx axisType="0">
        <c:axId val="58145937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63931343"/>
      </c:catAx>
      <c:valAx axisType="3">
        <c:axId val="63931343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$#,##0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58145937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19</xdr:row>
      <xdr:rowOff>0</xdr:rowOff>
    </xdr:from>
    <xdr:to>
      <xdr:col>8</xdr:col>
      <xdr:colOff>323850</xdr:colOff>
      <xdr:row>33</xdr:row>
      <xdr:rowOff>0</xdr:rowOff>
    </xdr:to>
    <xdr:graphicFrame>
      <xdr:nvGraphicFramePr>
        <xdr:cNvPr id="2" name="chart1"/>
        <xdr:cNvGraphicFramePr>
          <a:graphicFrameLocks noChangeAspect="0"/>
        </xdr:cNvGraphicFramePr>
      </xdr:nvGraphicFramePr>
      <xdr:xfrm>
        <a:off x="476250" y="3619500"/>
        <a:ext cx="600075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ventory" displayName="Inventory" ref="A1:C5">
  <autoFilter ref="A1:C5"/>
  <tableColumns count="3">
    <tableColumn id="1" name="Item"/>
    <tableColumn id="2" name="Qty"/>
    <tableColumn id="3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FA850D8-8418-C07D-A7F8-10E4E1493918}" mc:Ignorable="x14ac xr xr2 xr3">
  <dimension ref="A1:T200"/>
  <sheetViews>
    <sheetView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14.28125" customWidth="1"/>
    <col min="2" max="5" width="12.8515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I1" s="2" t="s">
        <v>6</v>
      </c>
    </row>
    <row r="2" ht="15" customHeight="1">
      <c r="A2" t="s">
        <v>7</v>
      </c>
      <c r="B2" s="3">
        <v>120</v>
      </c>
      <c r="C2" s="3">
        <v>138</v>
      </c>
      <c r="D2" s="3">
        <v>151</v>
      </c>
      <c r="E2" s="3">
        <v>169</v>
      </c>
      <c r="G2" cm="1" vm="1" t="e">
        <f t="array" ref="G2">_xlfn._xlws.SORT(A2:E5,5,-1)</f>
      </c>
      <c r="I2" cm="1">
        <f t="array" ref="I2:I5">_xlfn.SEQUENCE(4,1,10,5)</f>
        <v>10</v>
      </c>
    </row>
    <row r="3" ht="15" customHeight="1">
      <c r="A3" t="s">
        <v>8</v>
      </c>
      <c r="B3" s="3">
        <v>98</v>
      </c>
      <c r="C3" s="3">
        <v>110</v>
      </c>
      <c r="D3" s="3">
        <v>121</v>
      </c>
      <c r="E3" s="3">
        <v>135</v>
      </c>
      <c r="I3">
        <v>15</v>
      </c>
    </row>
    <row r="4" ht="15" customHeight="1">
      <c r="A4" t="s">
        <v>9</v>
      </c>
      <c r="B4" s="3">
        <v>145</v>
      </c>
      <c r="C4" s="3">
        <v>158</v>
      </c>
      <c r="D4" s="3">
        <v>172</v>
      </c>
      <c r="E4" s="3">
        <v>189</v>
      </c>
      <c r="I4">
        <v>20</v>
      </c>
    </row>
    <row r="5" ht="15" customHeight="1">
      <c r="A5" t="s">
        <v>10</v>
      </c>
      <c r="B5" s="3">
        <v>88</v>
      </c>
      <c r="C5" s="3">
        <v>94</v>
      </c>
      <c r="D5" s="3">
        <v>102</v>
      </c>
      <c r="E5" s="3">
        <v>119</v>
      </c>
      <c r="I5">
        <v>25</v>
      </c>
    </row>
    <row r="7" ht="15" customHeight="1">
      <c r="A7" s="2" t="s">
        <v>11</v>
      </c>
      <c r="B7" s="4">
        <f t="shared" si="0" ref="B7:E7">SUM(B2:B5)</f>
        <v>451</v>
      </c>
      <c r="C7" s="4">
        <f t="shared" si="0"/>
        <v>500</v>
      </c>
      <c r="D7" s="4">
        <f t="shared" si="0"/>
        <v>546</v>
      </c>
      <c r="E7" s="4">
        <f t="shared" si="0"/>
        <v>612</v>
      </c>
    </row>
    <row r="8" ht="15" customHeight="1">
      <c r="A8" s="5" t="s">
        <v>12</v>
      </c>
      <c r="B8" s="6">
        <f>SUMPRODUCT(B2:B5,C2:C5)/SUM(C2:C5)</f>
        <v>117.044</v>
      </c>
      <c r="G8" s="2" t="s">
        <v>13</v>
      </c>
    </row>
    <row r="9" ht="15" customHeight="1">
      <c r="A9" s="5" t="s">
        <v>14</v>
      </c>
      <c r="B9" s="7">
        <f>_xlfn.LET(_xlpm.a,SUM(B2:B5),_xlpm.b,SUM(E2:E5),_xlpm.b/_xlpm.a-1)</f>
        <v>0.356984478935698</v>
      </c>
      <c r="G9" cm="1" t="str">
        <f t="array" ref="G9:K11">_xlfn._xlws.FILTER(A2:E5,E2:E5&gt;120)</f>
        <v>North</v>
      </c>
      <c r="H9">
        <v>120</v>
      </c>
      <c r="I9">
        <v>138</v>
      </c>
      <c r="J9">
        <v>151</v>
      </c>
      <c r="K9">
        <v>169</v>
      </c>
    </row>
    <row r="10" ht="15" customHeight="1">
      <c r="G10" t="str">
        <v>South</v>
      </c>
      <c r="H10">
        <v>98</v>
      </c>
      <c r="I10">
        <v>110</v>
      </c>
      <c r="J10">
        <v>121</v>
      </c>
      <c r="K10">
        <v>135</v>
      </c>
    </row>
    <row r="11" ht="15" customHeight="1">
      <c r="A11" s="8" t="s">
        <v>15</v>
      </c>
      <c r="G11" t="str">
        <v>East</v>
      </c>
      <c r="H11">
        <v>145</v>
      </c>
      <c r="I11">
        <v>158</v>
      </c>
      <c r="J11">
        <v>172</v>
      </c>
      <c r="K11">
        <v>189</v>
      </c>
    </row>
    <row r="15" ht="15" customHeight="1">
      <c r="G15" s="2" t="s">
        <v>16</v>
      </c>
    </row>
    <row r="16" ht="15" customHeight="1">
      <c r="G16" cm="1" t="str">
        <f t="array" ref="G16:G19">_xlfn.UNIQUE(A2:A5)</f>
        <v>North</v>
      </c>
    </row>
    <row r="17" ht="15" customHeight="1">
      <c r="G17" t="str">
        <v>South</v>
      </c>
    </row>
    <row r="18" ht="15" customHeight="1">
      <c r="G18" t="str">
        <v>East</v>
      </c>
    </row>
    <row r="19" ht="15" customHeight="1">
      <c r="G19" t="str">
        <v>West</v>
      </c>
    </row>
  </sheetData>
  <mergeCells>
    <mergeCell ref="A11:E11"/>
  </mergeCells>
  <conditionalFormatting sqref="B2:E5">
    <cfRule type="colorScale" priority="1">
      <colorScale>
        <cfvo type="min"/>
        <cfvo type="max"/>
        <color rgb="FFFECACA"/>
        <color rgb="FF86EFAC"/>
      </colorScale>
    </cfRule>
  </conditionalFormatting>
  <dataValidations count="1">
    <dataValidation allowBlank="1" showErrorMessage="1" showInputMessage="1" sqref="A2:A5" type="list">
      <formula1>"North,South,East,West"</formula1>
    </dataValidation>
  </dataValidations>
  <drawing r:id="rId3"/>
  <legacyDrawing r:id="rId2"/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CE3978E-EBF8-0728-44F1-C3D003E696DD}" mc:Ignorable="x14ac xr xr2 xr3">
  <dimension ref="A1:T200"/>
  <sheetViews>
    <sheetView topLeftCell="A1" workbookViewId="0">
      <selection activeCell="A1" sqref="A1"/>
    </sheetView>
  </sheetViews>
  <sheetFormatPr defaultRowHeight="15" defaultColWidth="8.8515625" customHeight="1"/>
  <sheetData>
    <row r="1" ht="15" customHeight="1">
      <c r="A1" t="s">
        <v>17</v>
      </c>
      <c r="B1" t="s">
        <v>18</v>
      </c>
      <c r="C1" t="s">
        <v>19</v>
      </c>
    </row>
    <row r="2" ht="15" customHeight="1">
      <c r="A2" t="s">
        <v>20</v>
      </c>
      <c r="B2">
        <v>10</v>
      </c>
      <c r="C2">
        <v>1.25</v>
      </c>
    </row>
    <row r="3" ht="15" customHeight="1">
      <c r="A3" t="s">
        <v>21</v>
      </c>
      <c r="B3">
        <v>7</v>
      </c>
      <c r="C3">
        <v>2.1</v>
      </c>
    </row>
    <row r="4" ht="15" customHeight="1">
      <c r="A4" t="s">
        <v>22</v>
      </c>
      <c r="B4">
        <v>15</v>
      </c>
      <c r="C4">
        <v>0.85</v>
      </c>
    </row>
    <row r="5" ht="15" customHeight="1">
      <c r="A5" t="s">
        <v>23</v>
      </c>
      <c r="B5">
        <v>4</v>
      </c>
      <c r="C5">
        <v>3.4</v>
      </c>
    </row>
  </sheetData>
  <tableParts count="1">
    <tablePart r:id="rId1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